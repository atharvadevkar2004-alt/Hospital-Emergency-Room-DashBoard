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Practice  Files\Excel\Project\"/>
    </mc:Choice>
  </mc:AlternateContent>
  <xr:revisionPtr revIDLastSave="0" documentId="13_ncr:1_{0843321E-F1FA-49A9-80A9-3E70D72901E7}" xr6:coauthVersionLast="47" xr6:coauthVersionMax="47" xr10:uidLastSave="{00000000-0000-0000-0000-000000000000}"/>
  <bookViews>
    <workbookView xWindow="-108" yWindow="-108" windowWidth="23256" windowHeight="12456" firstSheet="1" activeTab="2" xr2:uid="{62BB46C0-05E5-4D86-B05A-8C50DAD51D7D}"/>
  </bookViews>
  <sheets>
    <sheet name="Sheet2" sheetId="4" r:id="rId1"/>
    <sheet name="Pivot Report" sheetId="1" r:id="rId2"/>
    <sheet name="DashBoard" sheetId="2" r:id="rId3"/>
    <sheet name="Daily ER no. of Patients" sheetId="3" r:id="rId4"/>
    <sheet name="Avergae wait Time " sheetId="5" r:id="rId5"/>
    <sheet name="Patient Satisfaction Score" sheetId="6" r:id="rId6"/>
  </sheets>
  <definedNames>
    <definedName name="ExternalData_1" localSheetId="0" hidden="1">Sheet2!$A$3:$M$434</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pivotCache cacheId="1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185d2ed-354d-4f8a-8f17-c5c6a96ec3a6" name="Hospital Emergency Room Data" connection="Query - Hospital Emergency Room Data"/>
          <x15:modelTable id="Calendar_Table_70f418c8-5212-4790-83e5-a079e26b7a9a"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7" i="1" l="1"/>
  <c r="B57" i="1"/>
  <c r="C57" i="1"/>
  <c r="B58" i="1"/>
  <c r="C58" i="1"/>
  <c r="A5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3D0872-8809-47BF-AFC2-FD9613DF7521}" keepAlive="1" name="ModelConnection_ExternalData_1" description="Data Model" type="5" refreshedVersion="8" minRefreshableVersion="5" saveData="1">
    <dbPr connection="Data Model Connection" command="DRILLTHROUGH MAXROWS 1000 SELECT FROM [Model] WHERE ([Calendar_Table].[Date (Month)].&amp;[Feb],[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ales]" commandType="4"/>
    <extLst>
      <ext xmlns:x15="http://schemas.microsoft.com/office/spreadsheetml/2010/11/main" uri="{DE250136-89BD-433C-8126-D09CA5730AF9}">
        <x15:connection id="" model="1"/>
      </ext>
    </extLst>
  </connection>
  <connection id="2" xr16:uid="{E3EAAB16-9482-48E2-9D81-CB00F807CDEC}" name="Query - Calendar_Table" description="Connection to the 'Calendar_Table' query in the workbook." type="100" refreshedVersion="8" minRefreshableVersion="5">
    <extLst>
      <ext xmlns:x15="http://schemas.microsoft.com/office/spreadsheetml/2010/11/main" uri="{DE250136-89BD-433C-8126-D09CA5730AF9}">
        <x15:connection id="b18afb28-4d15-4cb7-929b-62308d2ffe11"/>
      </ext>
    </extLst>
  </connection>
  <connection id="3" xr16:uid="{A09A39F3-0747-4CBD-886C-0390F1714E7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2213bf2-bcc6-4318-b103-b62c45042135"/>
      </ext>
    </extLst>
  </connection>
  <connection id="4" xr16:uid="{BC7FDE8E-50C1-4E4F-8B91-CF986B16D39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<sst xmlns="http://schemas.openxmlformats.org/spreadsheetml/2006/main" count="3618" uniqueCount="957">
  <si>
    <t xml:space="preserve"> </t>
  </si>
  <si>
    <t>Number of Patient Id</t>
  </si>
  <si>
    <t>Average of Patient Waittime</t>
  </si>
  <si>
    <t>Average of Patient Satisfaction Score</t>
  </si>
  <si>
    <t>Grand Total</t>
  </si>
  <si>
    <t>Row Labels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</si>
  <si>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</si>
  <si>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</si>
  <si>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</si>
  <si>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</si>
  <si>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</si>
  <si>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</si>
  <si>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</si>
  <si>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</si>
  <si>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</si>
  <si>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</si>
  <si>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</si>
  <si>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</si>
  <si>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Sales]</t>
  </si>
  <si>
    <t>589-25-9796</t>
  </si>
  <si>
    <t>C. Powling</t>
  </si>
  <si>
    <t>Male</t>
  </si>
  <si>
    <t>White</t>
  </si>
  <si>
    <t>None</t>
  </si>
  <si>
    <t>Admitted</t>
  </si>
  <si>
    <t>20-29</t>
  </si>
  <si>
    <t>OnTime</t>
  </si>
  <si>
    <t>590-50-6357</t>
  </si>
  <si>
    <t>C. Garraway</t>
  </si>
  <si>
    <t>70-79</t>
  </si>
  <si>
    <t>Delay</t>
  </si>
  <si>
    <t>150-49-5439</t>
  </si>
  <si>
    <t>C. Swalough</t>
  </si>
  <si>
    <t>50-59</t>
  </si>
  <si>
    <t>244-74-1250</t>
  </si>
  <si>
    <t>E. Syrett</t>
  </si>
  <si>
    <t>30-39</t>
  </si>
  <si>
    <t>106-76-9218</t>
  </si>
  <si>
    <t>E. Ruggiero</t>
  </si>
  <si>
    <t>10-19</t>
  </si>
  <si>
    <t>211-82-9691</t>
  </si>
  <si>
    <t>E. Yerson</t>
  </si>
  <si>
    <t>673-82-3180</t>
  </si>
  <si>
    <t>F. Judron</t>
  </si>
  <si>
    <t>162-53-8400</t>
  </si>
  <si>
    <t>I. Wolstenholme</t>
  </si>
  <si>
    <t>763-50-4006</t>
  </si>
  <si>
    <t>J. McReedy</t>
  </si>
  <si>
    <t>0-9</t>
  </si>
  <si>
    <t>262-40-0374</t>
  </si>
  <si>
    <t>L. Stetlye</t>
  </si>
  <si>
    <t>518-94-0881</t>
  </si>
  <si>
    <t>P. Cromblehome</t>
  </si>
  <si>
    <t>60-69</t>
  </si>
  <si>
    <t>867-81-0165</t>
  </si>
  <si>
    <t>R. Bricket</t>
  </si>
  <si>
    <t>40-49</t>
  </si>
  <si>
    <t>599-28-2215</t>
  </si>
  <si>
    <t>S. Houseman</t>
  </si>
  <si>
    <t>879-07-2777</t>
  </si>
  <si>
    <t>T. McReynolds</t>
  </si>
  <si>
    <t>399-14-1417</t>
  </si>
  <si>
    <t>U. Drought</t>
  </si>
  <si>
    <t>393-27-7025</t>
  </si>
  <si>
    <t>Y. MacCarroll</t>
  </si>
  <si>
    <t>709-72-3840</t>
  </si>
  <si>
    <t>Z. Simoncello</t>
  </si>
  <si>
    <t>114-36-5111</t>
  </si>
  <si>
    <t>R. Tilburn</t>
  </si>
  <si>
    <t>Female</t>
  </si>
  <si>
    <t>786-39-5598</t>
  </si>
  <si>
    <t>M. Thurner</t>
  </si>
  <si>
    <t>315-47-9666</t>
  </si>
  <si>
    <t>A. Gransden</t>
  </si>
  <si>
    <t>535-70-1320</t>
  </si>
  <si>
    <t>E. Meus</t>
  </si>
  <si>
    <t>376-17-6252</t>
  </si>
  <si>
    <t>F. Tonbridge</t>
  </si>
  <si>
    <t>545-60-6889</t>
  </si>
  <si>
    <t>M. Brabin</t>
  </si>
  <si>
    <t>131-23-8601</t>
  </si>
  <si>
    <t>N. Ragborne</t>
  </si>
  <si>
    <t>243-26-2463</t>
  </si>
  <si>
    <t>P. Mongan</t>
  </si>
  <si>
    <t>890-65-9881</t>
  </si>
  <si>
    <t>P. Lawrance</t>
  </si>
  <si>
    <t>650-24-3956</t>
  </si>
  <si>
    <t>T. Pollastrino</t>
  </si>
  <si>
    <t>421-24-6442</t>
  </si>
  <si>
    <t>T. Teague</t>
  </si>
  <si>
    <t>784-71-5298</t>
  </si>
  <si>
    <t>V. Clapston</t>
  </si>
  <si>
    <t>669-62-5609</t>
  </si>
  <si>
    <t>Y. Dowglass</t>
  </si>
  <si>
    <t>657-80-6910</t>
  </si>
  <si>
    <t>Y. Dooley</t>
  </si>
  <si>
    <t>304-66-6297</t>
  </si>
  <si>
    <t>B. Iddenden</t>
  </si>
  <si>
    <t>Not Admitted</t>
  </si>
  <si>
    <t>356-43-7542</t>
  </si>
  <si>
    <t>E. Blunden</t>
  </si>
  <si>
    <t>186-51-7721</t>
  </si>
  <si>
    <t>G. Skamell</t>
  </si>
  <si>
    <t>607-81-6711</t>
  </si>
  <si>
    <t>I. Creebo</t>
  </si>
  <si>
    <t>838-81-9021</t>
  </si>
  <si>
    <t>K. Leebeter</t>
  </si>
  <si>
    <t>794-82-3847</t>
  </si>
  <si>
    <t>L. Bagger</t>
  </si>
  <si>
    <t>157-96-7378</t>
  </si>
  <si>
    <t>L. Lilion</t>
  </si>
  <si>
    <t>607-93-7414</t>
  </si>
  <si>
    <t>M. Fevier</t>
  </si>
  <si>
    <t>622-90-4135</t>
  </si>
  <si>
    <t>N. Nani</t>
  </si>
  <si>
    <t>451-83-4132</t>
  </si>
  <si>
    <t>O. Bills</t>
  </si>
  <si>
    <t>202-31-8321</t>
  </si>
  <si>
    <t>Q. Goose</t>
  </si>
  <si>
    <t>896-98-1041</t>
  </si>
  <si>
    <t>S. Zolini</t>
  </si>
  <si>
    <t>239-37-0566</t>
  </si>
  <si>
    <t>S. Banton</t>
  </si>
  <si>
    <t>374-26-1067</t>
  </si>
  <si>
    <t>V. Maillard</t>
  </si>
  <si>
    <t>322-25-9678</t>
  </si>
  <si>
    <t>D. Sams</t>
  </si>
  <si>
    <t>519-94-5552</t>
  </si>
  <si>
    <t>F. Rodenhurst</t>
  </si>
  <si>
    <t>738-98-5900</t>
  </si>
  <si>
    <t>J. Gerbi</t>
  </si>
  <si>
    <t>662-44-4990</t>
  </si>
  <si>
    <t>W. Riddlesden</t>
  </si>
  <si>
    <t>828-49-0441</t>
  </si>
  <si>
    <t>U. Jensen</t>
  </si>
  <si>
    <t>African American</t>
  </si>
  <si>
    <t>251-33-7796</t>
  </si>
  <si>
    <t>H. Scown</t>
  </si>
  <si>
    <t>769-69-5025</t>
  </si>
  <si>
    <t>G. Vossing</t>
  </si>
  <si>
    <t>420-71-6756</t>
  </si>
  <si>
    <t>J. Thomsson</t>
  </si>
  <si>
    <t>561-21-7158</t>
  </si>
  <si>
    <t>L. Jacobsson</t>
  </si>
  <si>
    <t>541-08-9900</t>
  </si>
  <si>
    <t>Q. Brassill</t>
  </si>
  <si>
    <t>186-14-2053</t>
  </si>
  <si>
    <t>V. Minchinden</t>
  </si>
  <si>
    <t>315-55-1344</t>
  </si>
  <si>
    <t>V. Kyte</t>
  </si>
  <si>
    <t>680-14-5223</t>
  </si>
  <si>
    <t>X. Delgadillo</t>
  </si>
  <si>
    <t>781-65-5758</t>
  </si>
  <si>
    <t>X. Masseo</t>
  </si>
  <si>
    <t>707-65-0931</t>
  </si>
  <si>
    <t>W. Danford</t>
  </si>
  <si>
    <t>278-30-2643</t>
  </si>
  <si>
    <t>W. Draysey</t>
  </si>
  <si>
    <t>687-50-1228</t>
  </si>
  <si>
    <t>P. Porcas</t>
  </si>
  <si>
    <t>858-73-2347</t>
  </si>
  <si>
    <t>W. Goodley</t>
  </si>
  <si>
    <t>875-86-2290</t>
  </si>
  <si>
    <t>Y. Hawarden</t>
  </si>
  <si>
    <t>808-83-6561</t>
  </si>
  <si>
    <t>B. Lindback</t>
  </si>
  <si>
    <t>890-09-5805</t>
  </si>
  <si>
    <t>D. Linkie</t>
  </si>
  <si>
    <t>149-73-5025</t>
  </si>
  <si>
    <t>D. Danet</t>
  </si>
  <si>
    <t>399-94-6873</t>
  </si>
  <si>
    <t>I. Soldi</t>
  </si>
  <si>
    <t>680-94-3403</t>
  </si>
  <si>
    <t>K. Peirce</t>
  </si>
  <si>
    <t>879-29-8821</t>
  </si>
  <si>
    <t>P. Pentecost</t>
  </si>
  <si>
    <t>219-44-4242</t>
  </si>
  <si>
    <t>Q. Lebarree</t>
  </si>
  <si>
    <t>344-79-1146</t>
  </si>
  <si>
    <t>T. Jeffcoate</t>
  </si>
  <si>
    <t>678-92-5624</t>
  </si>
  <si>
    <t>X. Fermoy</t>
  </si>
  <si>
    <t>239-13-8585</t>
  </si>
  <si>
    <t>Y. Kielt</t>
  </si>
  <si>
    <t>242-26-0614</t>
  </si>
  <si>
    <t>U. Terram</t>
  </si>
  <si>
    <t>778-87-4111</t>
  </si>
  <si>
    <t>E. Brede</t>
  </si>
  <si>
    <t>609-16-8648</t>
  </si>
  <si>
    <t>E. Kornilov</t>
  </si>
  <si>
    <t>475-98-9744</t>
  </si>
  <si>
    <t>H. Melwall</t>
  </si>
  <si>
    <t>535-41-2592</t>
  </si>
  <si>
    <t>I. Penhale</t>
  </si>
  <si>
    <t>560-75-3252</t>
  </si>
  <si>
    <t>J. Rathbourne</t>
  </si>
  <si>
    <t>874-33-1108</t>
  </si>
  <si>
    <t>K. Poxson</t>
  </si>
  <si>
    <t>372-95-8455</t>
  </si>
  <si>
    <t>M. Kirsop</t>
  </si>
  <si>
    <t>677-73-9012</t>
  </si>
  <si>
    <t>P. Jendrassik</t>
  </si>
  <si>
    <t>121-36-1815</t>
  </si>
  <si>
    <t>Q. Antoons</t>
  </si>
  <si>
    <t>460-02-7369</t>
  </si>
  <si>
    <t>U. Lowrance</t>
  </si>
  <si>
    <t>153-71-0593</t>
  </si>
  <si>
    <t>Y. Ellson</t>
  </si>
  <si>
    <t>896-97-4839</t>
  </si>
  <si>
    <t>Y. Scanlin</t>
  </si>
  <si>
    <t>891-29-4509</t>
  </si>
  <si>
    <t>Z. Lockley</t>
  </si>
  <si>
    <t>618-67-3994</t>
  </si>
  <si>
    <t>O. Stummeyer</t>
  </si>
  <si>
    <t>Two or More Races</t>
  </si>
  <si>
    <t>684-47-0953</t>
  </si>
  <si>
    <t>D. Growcock</t>
  </si>
  <si>
    <t>897-32-9183</t>
  </si>
  <si>
    <t>I. Hunstone</t>
  </si>
  <si>
    <t>803-60-2987</t>
  </si>
  <si>
    <t>P. Chanders</t>
  </si>
  <si>
    <t>740-89-0160</t>
  </si>
  <si>
    <t>Q. Pickaver</t>
  </si>
  <si>
    <t>799-98-8144</t>
  </si>
  <si>
    <t>Q. Aronov</t>
  </si>
  <si>
    <t>546-75-6534</t>
  </si>
  <si>
    <t>R. Tosspell</t>
  </si>
  <si>
    <t>642-16-2520</t>
  </si>
  <si>
    <t>W. Seamark</t>
  </si>
  <si>
    <t>276-29-2728</t>
  </si>
  <si>
    <t>A. Dowry</t>
  </si>
  <si>
    <t>276-40-8022</t>
  </si>
  <si>
    <t>B. Pettiford</t>
  </si>
  <si>
    <t>567-85-0684</t>
  </si>
  <si>
    <t>C. Vido</t>
  </si>
  <si>
    <t>269-47-2004</t>
  </si>
  <si>
    <t>C. Howton</t>
  </si>
  <si>
    <t>450-65-5946</t>
  </si>
  <si>
    <t>C. Duchart</t>
  </si>
  <si>
    <t>582-90-6970</t>
  </si>
  <si>
    <t>E. Biles</t>
  </si>
  <si>
    <t>750-58-3647</t>
  </si>
  <si>
    <t>F. Cheale</t>
  </si>
  <si>
    <t>769-18-6872</t>
  </si>
  <si>
    <t>I. Jerdon</t>
  </si>
  <si>
    <t>192-63-0250</t>
  </si>
  <si>
    <t>K. Hucke</t>
  </si>
  <si>
    <t>243-68-6278</t>
  </si>
  <si>
    <t>N. Abbyss</t>
  </si>
  <si>
    <t>390-90-9742</t>
  </si>
  <si>
    <t>P. Kalkofer</t>
  </si>
  <si>
    <t>804-64-6939</t>
  </si>
  <si>
    <t>R. Jukubczak</t>
  </si>
  <si>
    <t>835-94-1722</t>
  </si>
  <si>
    <t>S. Ferrarello</t>
  </si>
  <si>
    <t>464-43-6789</t>
  </si>
  <si>
    <t>B. Philippard</t>
  </si>
  <si>
    <t>734-44-6625</t>
  </si>
  <si>
    <t>C. O'Halloran</t>
  </si>
  <si>
    <t>263-80-0452</t>
  </si>
  <si>
    <t>C. Dermott</t>
  </si>
  <si>
    <t>363-49-1560</t>
  </si>
  <si>
    <t>C. Dunford</t>
  </si>
  <si>
    <t>407-58-7271</t>
  </si>
  <si>
    <t>H. Hillyatt</t>
  </si>
  <si>
    <t>178-57-5719</t>
  </si>
  <si>
    <t>I. Frain</t>
  </si>
  <si>
    <t>380-36-1654</t>
  </si>
  <si>
    <t>S. William</t>
  </si>
  <si>
    <t>432-34-6666</t>
  </si>
  <si>
    <t>S. Mapson</t>
  </si>
  <si>
    <t>433-05-4611</t>
  </si>
  <si>
    <t>V. Barmadier</t>
  </si>
  <si>
    <t>792-55-4914</t>
  </si>
  <si>
    <t>X. Lytell</t>
  </si>
  <si>
    <t>708-49-4528</t>
  </si>
  <si>
    <t>Y. Dillicate</t>
  </si>
  <si>
    <t>180-73-9658</t>
  </si>
  <si>
    <t>A. Bewlay</t>
  </si>
  <si>
    <t>790-37-0542</t>
  </si>
  <si>
    <t>E. Lankford</t>
  </si>
  <si>
    <t>209-88-4916</t>
  </si>
  <si>
    <t>H. Bryer</t>
  </si>
  <si>
    <t>273-13-6898</t>
  </si>
  <si>
    <t>M. Petrescu</t>
  </si>
  <si>
    <t>184-28-0688</t>
  </si>
  <si>
    <t>N. Hamlyn</t>
  </si>
  <si>
    <t>111-82-4863</t>
  </si>
  <si>
    <t>P. Hackinge</t>
  </si>
  <si>
    <t>536-63-0892</t>
  </si>
  <si>
    <t>P. Lisamore</t>
  </si>
  <si>
    <t>117-05-8303</t>
  </si>
  <si>
    <t>P. Fidele</t>
  </si>
  <si>
    <t>147-93-3011</t>
  </si>
  <si>
    <t>Q. Griffith</t>
  </si>
  <si>
    <t>259-48-1976</t>
  </si>
  <si>
    <t>T. Collis</t>
  </si>
  <si>
    <t>467-53-4353</t>
  </si>
  <si>
    <t>T. Reucastle</t>
  </si>
  <si>
    <t>677-98-5643</t>
  </si>
  <si>
    <t>U. Ridings</t>
  </si>
  <si>
    <t>176-55-4577</t>
  </si>
  <si>
    <t>V. Marjanski</t>
  </si>
  <si>
    <t>435-97-4500</t>
  </si>
  <si>
    <t>Y. De Cruze</t>
  </si>
  <si>
    <t>484-09-1969</t>
  </si>
  <si>
    <t>G. Dougill</t>
  </si>
  <si>
    <t>Declined to Identify</t>
  </si>
  <si>
    <t>748-48-5657</t>
  </si>
  <si>
    <t>L. Plunket</t>
  </si>
  <si>
    <t>449-78-6801</t>
  </si>
  <si>
    <t>V. Bloomfield</t>
  </si>
  <si>
    <t>860-19-4179</t>
  </si>
  <si>
    <t>H. Barca</t>
  </si>
  <si>
    <t>826-59-4131</t>
  </si>
  <si>
    <t>N. Crim</t>
  </si>
  <si>
    <t>679-62-5186</t>
  </si>
  <si>
    <t>Q. Burdoun</t>
  </si>
  <si>
    <t>663-41-6861</t>
  </si>
  <si>
    <t>S. Raynes</t>
  </si>
  <si>
    <t>791-23-7644</t>
  </si>
  <si>
    <t>A. Montford</t>
  </si>
  <si>
    <t>645-79-2722</t>
  </si>
  <si>
    <t>I. McClounan</t>
  </si>
  <si>
    <t>474-66-5740</t>
  </si>
  <si>
    <t>Y. Unthank</t>
  </si>
  <si>
    <t>658-20-0202</t>
  </si>
  <si>
    <t>A. Say</t>
  </si>
  <si>
    <t>564-80-3063</t>
  </si>
  <si>
    <t>C. Qualtro</t>
  </si>
  <si>
    <t>136-49-5712</t>
  </si>
  <si>
    <t>L. Mixworthy</t>
  </si>
  <si>
    <t>627-82-2159</t>
  </si>
  <si>
    <t>L. Maus</t>
  </si>
  <si>
    <t>227-96-1846</t>
  </si>
  <si>
    <t>R. Keeri</t>
  </si>
  <si>
    <t>710-50-4562</t>
  </si>
  <si>
    <t>P. Benedite</t>
  </si>
  <si>
    <t>Asian</t>
  </si>
  <si>
    <t>734-15-2159</t>
  </si>
  <si>
    <t>K. Cockroft</t>
  </si>
  <si>
    <t>312-08-6219</t>
  </si>
  <si>
    <t>I. Kaaskooper</t>
  </si>
  <si>
    <t>144-23-9650</t>
  </si>
  <si>
    <t>K. Mullany</t>
  </si>
  <si>
    <t>489-02-8826</t>
  </si>
  <si>
    <t>L. Swede</t>
  </si>
  <si>
    <t>435-90-3773</t>
  </si>
  <si>
    <t>L. Fells</t>
  </si>
  <si>
    <t>565-93-5453</t>
  </si>
  <si>
    <t>J. Hellin</t>
  </si>
  <si>
    <t>468-76-5399</t>
  </si>
  <si>
    <t>N. Talby</t>
  </si>
  <si>
    <t>632-60-1284</t>
  </si>
  <si>
    <t>O. Shorter</t>
  </si>
  <si>
    <t>529-27-8936</t>
  </si>
  <si>
    <t>W. Birtonshaw</t>
  </si>
  <si>
    <t>692-52-8598</t>
  </si>
  <si>
    <t>D. Cuniam</t>
  </si>
  <si>
    <t>632-33-1275</t>
  </si>
  <si>
    <t>L. Grindley</t>
  </si>
  <si>
    <t>590-19-6541</t>
  </si>
  <si>
    <t>V. Blasio</t>
  </si>
  <si>
    <t>434-92-0068</t>
  </si>
  <si>
    <t>P. Esselin</t>
  </si>
  <si>
    <t>243-37-3437</t>
  </si>
  <si>
    <t>R. Godart</t>
  </si>
  <si>
    <t>553-11-6120</t>
  </si>
  <si>
    <t>V. Chevis</t>
  </si>
  <si>
    <t>Pacific Islander</t>
  </si>
  <si>
    <t>396-36-0799</t>
  </si>
  <si>
    <t>K. Dyshart</t>
  </si>
  <si>
    <t>640-48-4878</t>
  </si>
  <si>
    <t>M. Elvy</t>
  </si>
  <si>
    <t>254-55-0234</t>
  </si>
  <si>
    <t>L. Snasdell</t>
  </si>
  <si>
    <t>425-09-9414</t>
  </si>
  <si>
    <t>P. Jelphs</t>
  </si>
  <si>
    <t>330-63-9568</t>
  </si>
  <si>
    <t>U. Mungane</t>
  </si>
  <si>
    <t>804-61-6179</t>
  </si>
  <si>
    <t>V. Stable</t>
  </si>
  <si>
    <t>472-22-1392</t>
  </si>
  <si>
    <t>N. Abbatt</t>
  </si>
  <si>
    <t>377-04-9725</t>
  </si>
  <si>
    <t>U. Jeens</t>
  </si>
  <si>
    <t>Native American/Alaska Native</t>
  </si>
  <si>
    <t>563-36-2067</t>
  </si>
  <si>
    <t>E. Lindberg</t>
  </si>
  <si>
    <t>322-47-9764</t>
  </si>
  <si>
    <t>Q. Deveral</t>
  </si>
  <si>
    <t>701-34-7176</t>
  </si>
  <si>
    <t>X. Isakson</t>
  </si>
  <si>
    <t>555-26-1090</t>
  </si>
  <si>
    <t>E. Licence</t>
  </si>
  <si>
    <t>874-83-4874</t>
  </si>
  <si>
    <t>F. Simchenko</t>
  </si>
  <si>
    <t>198-07-1293</t>
  </si>
  <si>
    <t>M. Blanking</t>
  </si>
  <si>
    <t>499-70-1959</t>
  </si>
  <si>
    <t>X. Gartshore</t>
  </si>
  <si>
    <t>789-98-0501</t>
  </si>
  <si>
    <t>F. Dring</t>
  </si>
  <si>
    <t>355-62-4781</t>
  </si>
  <si>
    <t>R. Bwy</t>
  </si>
  <si>
    <t>412-07-8001</t>
  </si>
  <si>
    <t>S. Sivewright</t>
  </si>
  <si>
    <t>644-22-9798</t>
  </si>
  <si>
    <t>A. Netting</t>
  </si>
  <si>
    <t>791-12-6278</t>
  </si>
  <si>
    <t>W. Sharvell</t>
  </si>
  <si>
    <t>General Practice</t>
  </si>
  <si>
    <t>652-20-7712</t>
  </si>
  <si>
    <t>B. Bees</t>
  </si>
  <si>
    <t>344-12-7337</t>
  </si>
  <si>
    <t>B. Rickersey</t>
  </si>
  <si>
    <t>801-16-0380</t>
  </si>
  <si>
    <t>V. Hatherell</t>
  </si>
  <si>
    <t>632-44-8851</t>
  </si>
  <si>
    <t>Q. Aicken</t>
  </si>
  <si>
    <t>186-82-0440</t>
  </si>
  <si>
    <t>T. Rought</t>
  </si>
  <si>
    <t>717-55-4547</t>
  </si>
  <si>
    <t>H. Abelwhite</t>
  </si>
  <si>
    <t>187-98-7243</t>
  </si>
  <si>
    <t>M. Hessle</t>
  </si>
  <si>
    <t>168-12-2195</t>
  </si>
  <si>
    <t>Q. Willett</t>
  </si>
  <si>
    <t>198-75-4129</t>
  </si>
  <si>
    <t>X. Pullin</t>
  </si>
  <si>
    <t>519-85-8257</t>
  </si>
  <si>
    <t>Q. Asif</t>
  </si>
  <si>
    <t>706-58-1402</t>
  </si>
  <si>
    <t>J. Garfitt</t>
  </si>
  <si>
    <t>205-88-0582</t>
  </si>
  <si>
    <t>Y. Henden</t>
  </si>
  <si>
    <t>119-06-4805</t>
  </si>
  <si>
    <t>Q. Franzen</t>
  </si>
  <si>
    <t>873-82-4124</t>
  </si>
  <si>
    <t>Z. Zeale</t>
  </si>
  <si>
    <t>523-22-4909</t>
  </si>
  <si>
    <t>D. Brimilcome</t>
  </si>
  <si>
    <t>730-82-2040</t>
  </si>
  <si>
    <t>T. Becconsall</t>
  </si>
  <si>
    <t>577-99-1334</t>
  </si>
  <si>
    <t>W. Haslum</t>
  </si>
  <si>
    <t>625-15-3474</t>
  </si>
  <si>
    <t>Z. Kittles</t>
  </si>
  <si>
    <t>421-84-3059</t>
  </si>
  <si>
    <t>C. Earry</t>
  </si>
  <si>
    <t>181-93-2611</t>
  </si>
  <si>
    <t>G. Molan</t>
  </si>
  <si>
    <t>412-75-9383</t>
  </si>
  <si>
    <t>R. Potzold</t>
  </si>
  <si>
    <t>419-92-1735</t>
  </si>
  <si>
    <t>R. McNeice</t>
  </si>
  <si>
    <t>436-04-4586</t>
  </si>
  <si>
    <t>T. Himpson</t>
  </si>
  <si>
    <t>528-66-7358</t>
  </si>
  <si>
    <t>A. Pottage</t>
  </si>
  <si>
    <t>684-32-0338</t>
  </si>
  <si>
    <t>J. Jedrysik</t>
  </si>
  <si>
    <t>280-44-0647</t>
  </si>
  <si>
    <t>R. Jendrassik</t>
  </si>
  <si>
    <t>445-97-9581</t>
  </si>
  <si>
    <t>T. Fernehough</t>
  </si>
  <si>
    <t>412-29-3776</t>
  </si>
  <si>
    <t>V. Duffield</t>
  </si>
  <si>
    <t>809-24-5383</t>
  </si>
  <si>
    <t>B. Beney</t>
  </si>
  <si>
    <t>771-04-6699</t>
  </si>
  <si>
    <t>L. Betke</t>
  </si>
  <si>
    <t>476-53-5824</t>
  </si>
  <si>
    <t>I. Germon</t>
  </si>
  <si>
    <t>548-38-7756</t>
  </si>
  <si>
    <t>L. Otham</t>
  </si>
  <si>
    <t>423-95-8777</t>
  </si>
  <si>
    <t>X. Doogan</t>
  </si>
  <si>
    <t>459-37-0971</t>
  </si>
  <si>
    <t>F. Minmagh</t>
  </si>
  <si>
    <t>340-56-4663</t>
  </si>
  <si>
    <t>F. Vigneron</t>
  </si>
  <si>
    <t>143-66-9743</t>
  </si>
  <si>
    <t>I. Epgrave</t>
  </si>
  <si>
    <t>243-30-4158</t>
  </si>
  <si>
    <t>X. Jeffryes</t>
  </si>
  <si>
    <t>344-60-3150</t>
  </si>
  <si>
    <t>F. Butts</t>
  </si>
  <si>
    <t>730-92-9749</t>
  </si>
  <si>
    <t>A. Hearty</t>
  </si>
  <si>
    <t>624-35-0744</t>
  </si>
  <si>
    <t>G. Routham</t>
  </si>
  <si>
    <t>853-11-6791</t>
  </si>
  <si>
    <t>H. Robshaw</t>
  </si>
  <si>
    <t>270-86-7036</t>
  </si>
  <si>
    <t>I. Francesco</t>
  </si>
  <si>
    <t>657-17-7377</t>
  </si>
  <si>
    <t>J. Howroyd</t>
  </si>
  <si>
    <t>673-14-9836</t>
  </si>
  <si>
    <t>R. Hause</t>
  </si>
  <si>
    <t>693-67-1165</t>
  </si>
  <si>
    <t>U. Bredes</t>
  </si>
  <si>
    <t>588-44-5318</t>
  </si>
  <si>
    <t>Y. Challenor</t>
  </si>
  <si>
    <t>132-94-9742</t>
  </si>
  <si>
    <t>E. Nappin</t>
  </si>
  <si>
    <t>276-99-1686</t>
  </si>
  <si>
    <t>N. Windsor</t>
  </si>
  <si>
    <t>691-45-0118</t>
  </si>
  <si>
    <t>P. Ofield</t>
  </si>
  <si>
    <t>736-03-3064</t>
  </si>
  <si>
    <t>R. O'Crevan</t>
  </si>
  <si>
    <t>636-85-3446</t>
  </si>
  <si>
    <t>Y. McAne</t>
  </si>
  <si>
    <t>133-11-6007</t>
  </si>
  <si>
    <t>C. Shervil</t>
  </si>
  <si>
    <t>686-06-2832</t>
  </si>
  <si>
    <t>J. Ghilardi</t>
  </si>
  <si>
    <t>392-91-5620</t>
  </si>
  <si>
    <t>B. Pyer</t>
  </si>
  <si>
    <t>548-51-4965</t>
  </si>
  <si>
    <t>T. Figura</t>
  </si>
  <si>
    <t>525-36-7812</t>
  </si>
  <si>
    <t>G. Thorley</t>
  </si>
  <si>
    <t>884-57-5845</t>
  </si>
  <si>
    <t>A. Milner</t>
  </si>
  <si>
    <t>873-71-0439</t>
  </si>
  <si>
    <t>C. Littefair</t>
  </si>
  <si>
    <t>660-87-6404</t>
  </si>
  <si>
    <t>R. Nortcliffe</t>
  </si>
  <si>
    <t>535-66-6021</t>
  </si>
  <si>
    <t>K. Knotton</t>
  </si>
  <si>
    <t>Orthopedics</t>
  </si>
  <si>
    <t>562-95-1851</t>
  </si>
  <si>
    <t>O. Daber</t>
  </si>
  <si>
    <t>232-89-7136</t>
  </si>
  <si>
    <t>R. Silverthorne</t>
  </si>
  <si>
    <t>373-70-7925</t>
  </si>
  <si>
    <t>W. Dives</t>
  </si>
  <si>
    <t>256-81-6386</t>
  </si>
  <si>
    <t>R. Treslove</t>
  </si>
  <si>
    <t>559-31-6017</t>
  </si>
  <si>
    <t>A. Heggman</t>
  </si>
  <si>
    <t>263-80-6685</t>
  </si>
  <si>
    <t>C. Bartkowiak</t>
  </si>
  <si>
    <t>149-68-0241</t>
  </si>
  <si>
    <t>E. Hemerijk</t>
  </si>
  <si>
    <t>570-14-8462</t>
  </si>
  <si>
    <t>C. Meeland</t>
  </si>
  <si>
    <t>804-04-1122</t>
  </si>
  <si>
    <t>E. Humpatch</t>
  </si>
  <si>
    <t>721-25-3053</t>
  </si>
  <si>
    <t>O. Saffill</t>
  </si>
  <si>
    <t>554-45-2268</t>
  </si>
  <si>
    <t>Q. Manoelli</t>
  </si>
  <si>
    <t>654-49-3579</t>
  </si>
  <si>
    <t>T. Alessandrucci</t>
  </si>
  <si>
    <t>833-39-1167</t>
  </si>
  <si>
    <t>F. Woof</t>
  </si>
  <si>
    <t>231-60-4242</t>
  </si>
  <si>
    <t>G. Sapshed</t>
  </si>
  <si>
    <t>388-34-2380</t>
  </si>
  <si>
    <t>E. Normanton</t>
  </si>
  <si>
    <t>777-67-6604</t>
  </si>
  <si>
    <t>H. Harsant</t>
  </si>
  <si>
    <t>416-95-3368</t>
  </si>
  <si>
    <t>K. Mushart</t>
  </si>
  <si>
    <t>554-09-0300</t>
  </si>
  <si>
    <t>S. Brierley</t>
  </si>
  <si>
    <t>727-44-0682</t>
  </si>
  <si>
    <t>B. Gealy</t>
  </si>
  <si>
    <t>715-73-6259</t>
  </si>
  <si>
    <t>A. Mc Gorley</t>
  </si>
  <si>
    <t>389-53-3260</t>
  </si>
  <si>
    <t>N. Dudliston</t>
  </si>
  <si>
    <t>372-50-6699</t>
  </si>
  <si>
    <t>X. Lutas</t>
  </si>
  <si>
    <t>822-88-4417</t>
  </si>
  <si>
    <t>E. Bertenshaw</t>
  </si>
  <si>
    <t>539-97-0120</t>
  </si>
  <si>
    <t>R. Ducker</t>
  </si>
  <si>
    <t>120-15-2623</t>
  </si>
  <si>
    <t>B. Subhan</t>
  </si>
  <si>
    <t>208-42-8204</t>
  </si>
  <si>
    <t>E. Andrichuk</t>
  </si>
  <si>
    <t>455-54-8491</t>
  </si>
  <si>
    <t>K. Yeskin</t>
  </si>
  <si>
    <t>620-19-3129</t>
  </si>
  <si>
    <t>A. Plumb</t>
  </si>
  <si>
    <t>427-87-8857</t>
  </si>
  <si>
    <t>F. Pessler</t>
  </si>
  <si>
    <t>422-02-1134</t>
  </si>
  <si>
    <t>Q. Boole</t>
  </si>
  <si>
    <t>840-85-3205</t>
  </si>
  <si>
    <t>F. Siemandl</t>
  </si>
  <si>
    <t>481-25-8959</t>
  </si>
  <si>
    <t>U. O'Kinneally</t>
  </si>
  <si>
    <t>718-51-6818</t>
  </si>
  <si>
    <t>R. Cadalleder</t>
  </si>
  <si>
    <t>852-57-5614</t>
  </si>
  <si>
    <t>D. Bury</t>
  </si>
  <si>
    <t>580-44-0953</t>
  </si>
  <si>
    <t>A. Braizier</t>
  </si>
  <si>
    <t>Physiotherapy</t>
  </si>
  <si>
    <t>719-22-6541</t>
  </si>
  <si>
    <t>B. Little</t>
  </si>
  <si>
    <t>328-78-1549</t>
  </si>
  <si>
    <t>N. Kolodziej</t>
  </si>
  <si>
    <t>400-21-4570</t>
  </si>
  <si>
    <t>A. Gallegos</t>
  </si>
  <si>
    <t>388-03-3882</t>
  </si>
  <si>
    <t>K. Jacobsson</t>
  </si>
  <si>
    <t>126-78-2755</t>
  </si>
  <si>
    <t>X. Huchot</t>
  </si>
  <si>
    <t>208-73-8872</t>
  </si>
  <si>
    <t>L. Gerran</t>
  </si>
  <si>
    <t>276-38-4682</t>
  </si>
  <si>
    <t>O. Theodore</t>
  </si>
  <si>
    <t>Cardiology</t>
  </si>
  <si>
    <t>412-31-1320</t>
  </si>
  <si>
    <t>Y. Chesterfield</t>
  </si>
  <si>
    <t>848-85-3012</t>
  </si>
  <si>
    <t>O. Kauffman</t>
  </si>
  <si>
    <t>494-94-0828</t>
  </si>
  <si>
    <t>P. Jurczak</t>
  </si>
  <si>
    <t>278-16-5571</t>
  </si>
  <si>
    <t>S. Sebert</t>
  </si>
  <si>
    <t>608-45-3024</t>
  </si>
  <si>
    <t>K. Querree</t>
  </si>
  <si>
    <t>782-82-3086</t>
  </si>
  <si>
    <t>T. Sabbins</t>
  </si>
  <si>
    <t>518-65-2607</t>
  </si>
  <si>
    <t>T. Monte</t>
  </si>
  <si>
    <t>115-32-2532</t>
  </si>
  <si>
    <t>P. Bowker</t>
  </si>
  <si>
    <t>140-30-2555</t>
  </si>
  <si>
    <t>L. Vasilchenko</t>
  </si>
  <si>
    <t>Neurology</t>
  </si>
  <si>
    <t>100-79-0109</t>
  </si>
  <si>
    <t>P. Ulyatt</t>
  </si>
  <si>
    <t>488-56-9052</t>
  </si>
  <si>
    <t>B. Lowensohn</t>
  </si>
  <si>
    <t>266-27-4585</t>
  </si>
  <si>
    <t>J. Voss</t>
  </si>
  <si>
    <t>825-23-7126</t>
  </si>
  <si>
    <t>W. Clarke-Williams</t>
  </si>
  <si>
    <t>Gastroenterology</t>
  </si>
  <si>
    <t>505-65-9125</t>
  </si>
  <si>
    <t>V. Rosenfield</t>
  </si>
  <si>
    <t>647-71-3507</t>
  </si>
  <si>
    <t>W. Laurentino</t>
  </si>
  <si>
    <t>346-07-4017</t>
  </si>
  <si>
    <t>W. Richard</t>
  </si>
  <si>
    <t>Renal</t>
  </si>
  <si>
    <t>514-92-4822</t>
  </si>
  <si>
    <t>A. Lichfield</t>
  </si>
  <si>
    <t>496-05-7135</t>
  </si>
  <si>
    <t>Q. Trayte</t>
  </si>
  <si>
    <t>529-80-3128</t>
  </si>
  <si>
    <t>J. Meaking</t>
  </si>
  <si>
    <t>753-03-6126</t>
  </si>
  <si>
    <t>X. Gibke</t>
  </si>
  <si>
    <t>203-07-9453</t>
  </si>
  <si>
    <t>X. Ghiriardelli</t>
  </si>
  <si>
    <t>354-25-6792</t>
  </si>
  <si>
    <t>S. Coathup</t>
  </si>
  <si>
    <t>827-97-4092</t>
  </si>
  <si>
    <t>O. Sibbering</t>
  </si>
  <si>
    <t>770-69-8526</t>
  </si>
  <si>
    <t>X. Helis</t>
  </si>
  <si>
    <t>856-96-4267</t>
  </si>
  <si>
    <t>B. Ashpital</t>
  </si>
  <si>
    <t>177-75-4010</t>
  </si>
  <si>
    <t>T. Haddeston</t>
  </si>
  <si>
    <t>875-34-4380</t>
  </si>
  <si>
    <t>J. Legging</t>
  </si>
  <si>
    <t>269-42-7536</t>
  </si>
  <si>
    <t>S. Rate</t>
  </si>
  <si>
    <t>250-66-4495</t>
  </si>
  <si>
    <t>V. Nabbs</t>
  </si>
  <si>
    <t>790-47-5011</t>
  </si>
  <si>
    <t>R. Cockle</t>
  </si>
  <si>
    <t>585-23-3839</t>
  </si>
  <si>
    <t>S. Salway</t>
  </si>
  <si>
    <t>356-76-1028</t>
  </si>
  <si>
    <t>V. O'Hagerty</t>
  </si>
  <si>
    <t>254-35-5734</t>
  </si>
  <si>
    <t>S. Foulstone</t>
  </si>
  <si>
    <t>377-92-8039</t>
  </si>
  <si>
    <t>G. Vogelein</t>
  </si>
  <si>
    <t>365-99-9238</t>
  </si>
  <si>
    <t>N. Delbergue</t>
  </si>
  <si>
    <t>743-65-5099</t>
  </si>
  <si>
    <t>M. Peschmann</t>
  </si>
  <si>
    <t>493-10-9938</t>
  </si>
  <si>
    <t>A. Haworth</t>
  </si>
  <si>
    <t>461-29-9107</t>
  </si>
  <si>
    <t>N. Torbard</t>
  </si>
  <si>
    <t>320-85-0898</t>
  </si>
  <si>
    <t>G. Paull</t>
  </si>
  <si>
    <t>374-27-4733</t>
  </si>
  <si>
    <t>H. Gaudon</t>
  </si>
  <si>
    <t>400-51-3029</t>
  </si>
  <si>
    <t>X. Abdy</t>
  </si>
  <si>
    <t>693-10-4073</t>
  </si>
  <si>
    <t>F. McRobb</t>
  </si>
  <si>
    <t>754-85-3101</t>
  </si>
  <si>
    <t>F. Humpherston</t>
  </si>
  <si>
    <t>895-70-7727</t>
  </si>
  <si>
    <t>Z. Yelden</t>
  </si>
  <si>
    <t>785-59-9671</t>
  </si>
  <si>
    <t>U. Mapston</t>
  </si>
  <si>
    <t>612-96-3788</t>
  </si>
  <si>
    <t>R. Mann</t>
  </si>
  <si>
    <t>540-07-7543</t>
  </si>
  <si>
    <t>Z. Izakson</t>
  </si>
  <si>
    <t>268-33-9590</t>
  </si>
  <si>
    <t>O. Wordington</t>
  </si>
  <si>
    <t>555-74-8070</t>
  </si>
  <si>
    <t>N. Baxstare</t>
  </si>
  <si>
    <t>876-14-0295</t>
  </si>
  <si>
    <t>E. Bellhouse</t>
  </si>
  <si>
    <t>857-22-1477</t>
  </si>
  <si>
    <t>L. Benedettini</t>
  </si>
  <si>
    <t>358-31-9711</t>
  </si>
  <si>
    <t>U. Titcombe</t>
  </si>
  <si>
    <t>328-03-8699</t>
  </si>
  <si>
    <t>Z. Brellin</t>
  </si>
  <si>
    <t>846-33-1744</t>
  </si>
  <si>
    <t>S. Nutting</t>
  </si>
  <si>
    <t>475-84-2128</t>
  </si>
  <si>
    <t>E. Ivatts</t>
  </si>
  <si>
    <t>248-33-3339</t>
  </si>
  <si>
    <t>V. Swayne</t>
  </si>
  <si>
    <t>857-28-7777</t>
  </si>
  <si>
    <t>X. Markushkin</t>
  </si>
  <si>
    <t>871-89-4819</t>
  </si>
  <si>
    <t>J. Turmall</t>
  </si>
  <si>
    <t>613-18-7721</t>
  </si>
  <si>
    <t>E. Greeson</t>
  </si>
  <si>
    <t>390-36-3570</t>
  </si>
  <si>
    <t>Q. Groomebridge</t>
  </si>
  <si>
    <t>181-02-4908</t>
  </si>
  <si>
    <t>O. Wakelin</t>
  </si>
  <si>
    <t>864-13-4043</t>
  </si>
  <si>
    <t>Q. Lyngsted</t>
  </si>
  <si>
    <t>410-50-5126</t>
  </si>
  <si>
    <t>E. Rove</t>
  </si>
  <si>
    <t>204-16-6516</t>
  </si>
  <si>
    <t>Q. Austing</t>
  </si>
  <si>
    <t>146-77-1591</t>
  </si>
  <si>
    <t>K. Dorian</t>
  </si>
  <si>
    <t>135-61-7666</t>
  </si>
  <si>
    <t>S. Dagon</t>
  </si>
  <si>
    <t>276-56-0604</t>
  </si>
  <si>
    <t>R. McMurray</t>
  </si>
  <si>
    <t>349-17-8032</t>
  </si>
  <si>
    <t>J. Milton-White</t>
  </si>
  <si>
    <t>101-35-7039</t>
  </si>
  <si>
    <t>T. Ganter</t>
  </si>
  <si>
    <t>881-97-4043</t>
  </si>
  <si>
    <t>R. McFadin</t>
  </si>
  <si>
    <t>665-01-2413</t>
  </si>
  <si>
    <t>Y. Yakob</t>
  </si>
  <si>
    <t>490-11-8769</t>
  </si>
  <si>
    <t>F. Bourcq</t>
  </si>
  <si>
    <t>762-06-3723</t>
  </si>
  <si>
    <t>O. de Clerk</t>
  </si>
  <si>
    <t>652-35-9074</t>
  </si>
  <si>
    <t>K. Mahaffey</t>
  </si>
  <si>
    <t>617-79-1591</t>
  </si>
  <si>
    <t>E. Cromer</t>
  </si>
  <si>
    <t>157-11-4628</t>
  </si>
  <si>
    <t>T. Colaco</t>
  </si>
  <si>
    <t>213-23-7376</t>
  </si>
  <si>
    <t>M. Vasenkov</t>
  </si>
  <si>
    <t>709-27-5618</t>
  </si>
  <si>
    <t>P. Coping</t>
  </si>
  <si>
    <t>215-31-6186</t>
  </si>
  <si>
    <t>H. Frape</t>
  </si>
  <si>
    <t>417-28-9047</t>
  </si>
  <si>
    <t>T. Gillopp</t>
  </si>
  <si>
    <t>881-37-2614</t>
  </si>
  <si>
    <t>O. MacVagh</t>
  </si>
  <si>
    <t>544-26-4109</t>
  </si>
  <si>
    <t>B. Broadley</t>
  </si>
  <si>
    <t>299-88-9041</t>
  </si>
  <si>
    <t>M. Franzel</t>
  </si>
  <si>
    <t>222-04-8858</t>
  </si>
  <si>
    <t>U. Geram</t>
  </si>
  <si>
    <t>621-66-7813</t>
  </si>
  <si>
    <t>V. Hawick</t>
  </si>
  <si>
    <t>834-60-1903</t>
  </si>
  <si>
    <t>M. Lambdean</t>
  </si>
  <si>
    <t>744-41-8368</t>
  </si>
  <si>
    <t>L. Dobing</t>
  </si>
  <si>
    <t>154-20-3673</t>
  </si>
  <si>
    <t>A. Matchitt</t>
  </si>
  <si>
    <t>587-35-6481</t>
  </si>
  <si>
    <t>M. Anfossi</t>
  </si>
  <si>
    <t>871-75-0210</t>
  </si>
  <si>
    <t>T. MacArdle</t>
  </si>
  <si>
    <t>885-91-3054</t>
  </si>
  <si>
    <t>C. Bernhard</t>
  </si>
  <si>
    <t>711-78-4446</t>
  </si>
  <si>
    <t>G. Pretious</t>
  </si>
  <si>
    <t>541-78-8781</t>
  </si>
  <si>
    <t>B. Stiggers</t>
  </si>
  <si>
    <t>542-43-2204</t>
  </si>
  <si>
    <t>Z. Cottage</t>
  </si>
  <si>
    <t>541-60-5377</t>
  </si>
  <si>
    <t>V. Quye</t>
  </si>
  <si>
    <t>167-15-7518</t>
  </si>
  <si>
    <t>H. Coppenhall</t>
  </si>
  <si>
    <t>651-08-2231</t>
  </si>
  <si>
    <t>Y. Joret</t>
  </si>
  <si>
    <t>248-40-1832</t>
  </si>
  <si>
    <t>K. Hobbing</t>
  </si>
  <si>
    <t>613-37-8053</t>
  </si>
  <si>
    <t>W. Hale</t>
  </si>
  <si>
    <t>543-86-2381</t>
  </si>
  <si>
    <t>J. Jamieson</t>
  </si>
  <si>
    <t>234-89-6647</t>
  </si>
  <si>
    <t>P. Sapey</t>
  </si>
  <si>
    <t>296-44-2419</t>
  </si>
  <si>
    <t>S. Wickenden</t>
  </si>
  <si>
    <t>330-83-0888</t>
  </si>
  <si>
    <t>T. Brian</t>
  </si>
  <si>
    <t>797-10-7600</t>
  </si>
  <si>
    <t>V. Malletratt</t>
  </si>
  <si>
    <t>246-06-8866</t>
  </si>
  <si>
    <t>V. Coneley</t>
  </si>
  <si>
    <t>708-70-6853</t>
  </si>
  <si>
    <t>M. Eallis</t>
  </si>
  <si>
    <t>555-84-6544</t>
  </si>
  <si>
    <t>B. Akett</t>
  </si>
  <si>
    <t>806-35-1624</t>
  </si>
  <si>
    <t>K. Thickins</t>
  </si>
  <si>
    <t>493-10-1682</t>
  </si>
  <si>
    <t>M. Akroyd</t>
  </si>
  <si>
    <t>534-24-2222</t>
  </si>
  <si>
    <t>R. Everall</t>
  </si>
  <si>
    <t>653-94-5107</t>
  </si>
  <si>
    <t>G. Oury</t>
  </si>
  <si>
    <t>480-89-1845</t>
  </si>
  <si>
    <t>O. Purcer</t>
  </si>
  <si>
    <t>454-82-8237</t>
  </si>
  <si>
    <t>J. Votier</t>
  </si>
  <si>
    <t>463-10-9391</t>
  </si>
  <si>
    <t>Q. MacKellar</t>
  </si>
  <si>
    <t>848-13-6227</t>
  </si>
  <si>
    <t>D. Reeves</t>
  </si>
  <si>
    <t>604-61-1731</t>
  </si>
  <si>
    <t>T. Abade</t>
  </si>
  <si>
    <t>731-16-0726</t>
  </si>
  <si>
    <t>N. Le Fevre</t>
  </si>
  <si>
    <t>745-95-5434</t>
  </si>
  <si>
    <t>J. Piggen</t>
  </si>
  <si>
    <t>193-87-0591</t>
  </si>
  <si>
    <t>H. Batchan</t>
  </si>
  <si>
    <t>222-82-2788</t>
  </si>
  <si>
    <t>L. Giannazzo</t>
  </si>
  <si>
    <t>575-80-4899</t>
  </si>
  <si>
    <t>C. Todaro</t>
  </si>
  <si>
    <t>443-64-7889</t>
  </si>
  <si>
    <t>C. Ashdown</t>
  </si>
  <si>
    <t>528-29-5097</t>
  </si>
  <si>
    <t>O. Bolmann</t>
  </si>
  <si>
    <t>296-68-1456</t>
  </si>
  <si>
    <t>K. Abbati</t>
  </si>
  <si>
    <t>169-60-6555</t>
  </si>
  <si>
    <t>N. Giral</t>
  </si>
  <si>
    <t>779-25-0290</t>
  </si>
  <si>
    <t>V. Pratten</t>
  </si>
  <si>
    <t>764-74-1398</t>
  </si>
  <si>
    <t>Z. Heyfield</t>
  </si>
  <si>
    <t>636-48-7628</t>
  </si>
  <si>
    <t>O. Stables</t>
  </si>
  <si>
    <t>667-93-9784</t>
  </si>
  <si>
    <t>P. Garlant</t>
  </si>
  <si>
    <t>168-07-4106</t>
  </si>
  <si>
    <t>P. Monnoyer</t>
  </si>
  <si>
    <t>484-72-9497</t>
  </si>
  <si>
    <t>F. Abelovitz</t>
  </si>
  <si>
    <t>432-34-5614</t>
  </si>
  <si>
    <t>E. Dewhirst</t>
  </si>
  <si>
    <t>171-47-9048</t>
  </si>
  <si>
    <t>V. Fiennes</t>
  </si>
  <si>
    <t>524-87-1820</t>
  </si>
  <si>
    <t>U. Riggeard</t>
  </si>
  <si>
    <t>293-41-9295</t>
  </si>
  <si>
    <t>H. Vogt</t>
  </si>
  <si>
    <t>428-04-4880</t>
  </si>
  <si>
    <t>L. Masdin</t>
  </si>
  <si>
    <t>754-35-8800</t>
  </si>
  <si>
    <t>S. Lankham</t>
  </si>
  <si>
    <t>695-94-7928</t>
  </si>
  <si>
    <t>G. Harmeston</t>
  </si>
  <si>
    <t>694-52-7798</t>
  </si>
  <si>
    <t>U. Witherow</t>
  </si>
  <si>
    <t>227-87-1629</t>
  </si>
  <si>
    <t>S. Gainsburgh</t>
  </si>
  <si>
    <t>171-69-2921</t>
  </si>
  <si>
    <t>M. Kernley</t>
  </si>
  <si>
    <t>169-76-5874</t>
  </si>
  <si>
    <t>U. Graith</t>
  </si>
  <si>
    <t>278-96-4501</t>
  </si>
  <si>
    <t>U. Djokic</t>
  </si>
  <si>
    <t>256-38-2449</t>
  </si>
  <si>
    <t>Q. Copplestone</t>
  </si>
  <si>
    <t>Data returned for Number of Patient Id, Feb (First 1000 rows).</t>
  </si>
  <si>
    <t>Daily ER.No.of Patients</t>
  </si>
  <si>
    <t>Average Wait Time Daily Trend</t>
  </si>
  <si>
    <t>Patient Satisfaction Score</t>
  </si>
  <si>
    <t>Count of Patient Admission Flag</t>
  </si>
  <si>
    <t>Count of Patient Admission Flag2</t>
  </si>
  <si>
    <t>Admission Status</t>
  </si>
  <si>
    <t>%Status</t>
  </si>
  <si>
    <t>No. Of Patients</t>
  </si>
  <si>
    <t>Count of Age Group</t>
  </si>
  <si>
    <t>Age Group</t>
  </si>
  <si>
    <t>Patient Admission Status</t>
  </si>
  <si>
    <t>Count of Patient attend Sales</t>
  </si>
  <si>
    <t>Percentage of Patients within 30 Minutes</t>
  </si>
  <si>
    <t>Count of Patient Gender</t>
  </si>
  <si>
    <t>Count of Department Referral</t>
  </si>
  <si>
    <t>2024</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</si>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</sst>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tint="0.1499984740745262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2" fontId="0" fillId="0" borderId="0" xfId="0" applyNumberFormat="1"/>
    <xf numFmtId="0" fontId="0" fillId="2" borderId="0" xfId="0" applyFill="1"/>
    <xf numFmtId="0" fontId="0" fillId="0" borderId="0" xfId="0" pivotButton="1"/>
    <xf numFmtId="14" fontId="0" fillId="0" borderId="0" xfId="0" applyNumberFormat="1"/>
    <xf numFmtId="0" fontId="0" fillId="0" borderId="0" xfId="0" applyAlignment="1">
      <alignment horizontal="left"/>
    </xf>
    <xf numFmtId="21" fontId="0" fillId="0" borderId="0" xfId="0" applyNumberFormat="1"/>
    <xf numFmtId="0" fontId="1" fillId="0" borderId="0" xfId="0" applyFont="1"/>
    <xf numFmtId="0" fontId="0" fillId="3" borderId="0" xfId="0" applyFill="1"/>
    <xf numFmtId="10" fontId="0" fillId="0" borderId="0" xfId="0" applyNumberFormat="1"/>
    <xf numFmtId="1" fontId="0" fillId="0" borderId="0" xfId="0" applyNumberFormat="1"/>
    <xf numFmtId="0" fontId="2" fillId="3" borderId="0" xfId="0" applyFont="1" applyFill="1"/>
    <xf numFmtId="0" fontId="0" fillId="4" borderId="0" xfId="0" applyFill="1"/>
    <xf numFmtId="10" fontId="0" fillId="4" borderId="1" xfId="0" applyNumberFormat="1" applyFill="1" applyBorder="1" applyAlignment="1">
      <alignment horizontal="center"/>
    </xf>
    <xf numFmtId="0" fontId="1" fillId="4" borderId="1" xfId="0" applyFont="1" applyFill="1" applyBorder="1" applyAlignment="1">
      <alignment horizontal="center"/>
    </xf>
    <xf numFmtId="0" fontId="1" fillId="4" borderId="1" xfId="0" applyFont="1" applyFill="1" applyBorder="1" applyAlignment="1">
      <alignment horizontal="left"/>
    </xf>
    <xf numFmtId="0" fontId="0" fillId="4" borderId="1" xfId="0" applyFill="1" applyBorder="1" applyAlignment="1">
      <alignment horizontal="left"/>
    </xf>
  </cellXfs>
  <cellStyles count="1">
    <cellStyle name="Normal" xfId="0" builtinId="0"/>
  </cellStyles>
  <dxfs count="15">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6" formatCode="hh:mm:ss"/>
    </dxf>
    <dxf>
      <numFmt numFmtId="19" formatCode="dd/mm/yyyy"/>
    </dxf>
    <dxf>
      <fill>
        <patternFill>
          <bgColor theme="7" tint="0.59996337778862885"/>
        </patternFill>
      </fill>
    </dxf>
  </dxfs>
  <tableStyles count="1" defaultTableStyle="TableStyleMedium2" defaultPivotStyle="PivotStyleLight16">
    <tableStyle name="Slicer Style 1" pivot="0" table="0" count="3" xr9:uid="{38C84B54-6E66-475A-8E23-70B711A07E0B}">
      <tableStyleElement type="wholeTable" dxfId="14"/>
    </tableStyle>
  </tableStyles>
  <colors>
    <mruColors>
      <color rgb="FF3916EA"/>
    </mruColors>
  </colors>
  <extLst>
    <ext xmlns:x14="http://schemas.microsoft.com/office/spreadsheetml/2009/9/main" uri="{46F421CA-312F-682f-3DD2-61675219B42D}">
      <x14:dxfs count="2">
        <dxf>
          <fill>
            <gradientFill degree="90">
              <stop position="0">
                <color rgb="FFFF0000"/>
              </stop>
              <stop position="1">
                <color theme="6" tint="-0.49803155613879818"/>
              </stop>
            </gradientFill>
          </fill>
        </dxf>
        <dxf>
          <fill>
            <gradientFill degree="90">
              <stop position="0">
                <color rgb="FF3916EA"/>
              </stop>
              <stop position="1">
                <color theme="7"/>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2539627663529169E-2"/>
          <c:y val="0.11143186620127081"/>
          <c:w val="0.97745999616752033"/>
          <c:h val="0.88530017258859661"/>
        </c:manualLayout>
      </c:layout>
      <c:barChart>
        <c:barDir val="bar"/>
        <c:grouping val="clustered"/>
        <c:varyColors val="0"/>
        <c:ser>
          <c:idx val="0"/>
          <c:order val="0"/>
          <c:tx>
            <c:strRef>
              <c:f>'Pivot Report'!$B$43</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Report'!$A$44:$A$46</c:f>
              <c:strCache>
                <c:ptCount val="2"/>
                <c:pt idx="0">
                  <c:v>Not Admitted</c:v>
                </c:pt>
                <c:pt idx="1">
                  <c:v>Admitted</c:v>
                </c:pt>
              </c:strCache>
            </c:strRef>
          </c:cat>
          <c:val>
            <c:numRef>
              <c:f>'Pivot Report'!$B$44:$B$46</c:f>
              <c:numCache>
                <c:formatCode>General</c:formatCode>
                <c:ptCount val="2"/>
                <c:pt idx="0">
                  <c:v>224</c:v>
                </c:pt>
                <c:pt idx="1">
                  <c:v>247</c:v>
                </c:pt>
              </c:numCache>
            </c:numRef>
          </c:val>
          <c:extLst>
            <c:ext xmlns:c16="http://schemas.microsoft.com/office/drawing/2014/chart" uri="{C3380CC4-5D6E-409C-BE32-E72D297353CC}">
              <c16:uniqueId val="{00000000-4F83-4372-A83C-D6948291B923}"/>
            </c:ext>
          </c:extLst>
        </c:ser>
        <c:ser>
          <c:idx val="1"/>
          <c:order val="1"/>
          <c:tx>
            <c:strRef>
              <c:f>'Pivot Report'!$C$43</c:f>
              <c:strCache>
                <c:ptCount val="1"/>
                <c:pt idx="0">
                  <c:v>Count of Patient Admission Flag2</c:v>
                </c:pt>
              </c:strCache>
            </c:strRef>
          </c:tx>
          <c:spPr>
            <a:solidFill>
              <a:schemeClr val="accent2"/>
            </a:solidFill>
            <a:ln>
              <a:noFill/>
            </a:ln>
            <a:effectLst/>
          </c:spPr>
          <c:invertIfNegative val="0"/>
          <c:cat>
            <c:strRef>
              <c:f>'Pivot Report'!$A$44:$A$46</c:f>
              <c:strCache>
                <c:ptCount val="2"/>
                <c:pt idx="0">
                  <c:v>Not Admitted</c:v>
                </c:pt>
                <c:pt idx="1">
                  <c:v>Admitted</c:v>
                </c:pt>
              </c:strCache>
            </c:strRef>
          </c:cat>
          <c:val>
            <c:numRef>
              <c:f>'Pivot Report'!$C$44:$C$46</c:f>
              <c:numCache>
                <c:formatCode>0.00%</c:formatCode>
                <c:ptCount val="2"/>
                <c:pt idx="0">
                  <c:v>0.47558386411889597</c:v>
                </c:pt>
                <c:pt idx="1">
                  <c:v>0.52441613588110403</c:v>
                </c:pt>
              </c:numCache>
            </c:numRef>
          </c:val>
          <c:extLst>
            <c:ext xmlns:c16="http://schemas.microsoft.com/office/drawing/2014/chart" uri="{C3380CC4-5D6E-409C-BE32-E72D297353CC}">
              <c16:uniqueId val="{00000001-4F83-4372-A83C-D6948291B923}"/>
            </c:ext>
          </c:extLst>
        </c:ser>
        <c:dLbls>
          <c:showLegendKey val="0"/>
          <c:showVal val="0"/>
          <c:showCatName val="0"/>
          <c:showSerName val="0"/>
          <c:showPercent val="0"/>
          <c:showBubbleSize val="0"/>
        </c:dLbls>
        <c:gapWidth val="90"/>
        <c:overlap val="100"/>
        <c:axId val="1182243135"/>
        <c:axId val="1182243615"/>
      </c:barChart>
      <c:catAx>
        <c:axId val="1182243135"/>
        <c:scaling>
          <c:orientation val="minMax"/>
        </c:scaling>
        <c:delete val="1"/>
        <c:axPos val="l"/>
        <c:numFmt formatCode="General" sourceLinked="1"/>
        <c:majorTickMark val="none"/>
        <c:minorTickMark val="none"/>
        <c:tickLblPos val="nextTo"/>
        <c:crossAx val="1182243615"/>
        <c:crosses val="autoZero"/>
        <c:auto val="1"/>
        <c:lblAlgn val="ctr"/>
        <c:lblOffset val="100"/>
        <c:noMultiLvlLbl val="0"/>
      </c:catAx>
      <c:valAx>
        <c:axId val="1182243615"/>
        <c:scaling>
          <c:orientation val="minMax"/>
        </c:scaling>
        <c:delete val="1"/>
        <c:axPos val="b"/>
        <c:numFmt formatCode="General" sourceLinked="1"/>
        <c:majorTickMark val="none"/>
        <c:minorTickMark val="none"/>
        <c:tickLblPos val="nextTo"/>
        <c:crossAx val="118224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73604929818553E-3"/>
          <c:y val="0.10942001128324438"/>
          <c:w val="0.98917493412215651"/>
          <c:h val="0.88365027933518714"/>
        </c:manualLayout>
      </c:layout>
      <c:areaChart>
        <c:grouping val="standard"/>
        <c:varyColors val="0"/>
        <c:ser>
          <c:idx val="0"/>
          <c:order val="0"/>
          <c:tx>
            <c:strRef>
              <c:f>'Pivot Report'!$F$6</c:f>
              <c:strCache>
                <c:ptCount val="1"/>
                <c:pt idx="0">
                  <c:v>Total</c:v>
                </c:pt>
              </c:strCache>
            </c:strRef>
          </c:tx>
          <c:spPr>
            <a:solidFill>
              <a:schemeClr val="accent1"/>
            </a:solidFill>
            <a:ln w="25400">
              <a:noFill/>
            </a:ln>
            <a:effectLst/>
          </c:spPr>
          <c:cat>
            <c:strRef>
              <c:f>'Pivot Report'!$E$7:$E$37</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Report'!$F$7:$F$37</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0-6634-40D7-96C4-BE04A1660DEE}"/>
            </c:ext>
          </c:extLst>
        </c:ser>
        <c:dLbls>
          <c:showLegendKey val="0"/>
          <c:showVal val="0"/>
          <c:showCatName val="0"/>
          <c:showSerName val="0"/>
          <c:showPercent val="0"/>
          <c:showBubbleSize val="0"/>
        </c:dLbls>
        <c:axId val="379942928"/>
        <c:axId val="379944368"/>
      </c:areaChart>
      <c:catAx>
        <c:axId val="379942928"/>
        <c:scaling>
          <c:orientation val="minMax"/>
        </c:scaling>
        <c:delete val="1"/>
        <c:axPos val="b"/>
        <c:numFmt formatCode="General" sourceLinked="1"/>
        <c:majorTickMark val="out"/>
        <c:minorTickMark val="none"/>
        <c:tickLblPos val="nextTo"/>
        <c:crossAx val="379944368"/>
        <c:crosses val="autoZero"/>
        <c:auto val="1"/>
        <c:lblAlgn val="ctr"/>
        <c:lblOffset val="100"/>
        <c:noMultiLvlLbl val="0"/>
      </c:catAx>
      <c:valAx>
        <c:axId val="37994436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79942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61717285339337E-2"/>
          <c:y val="0.24764015601999315"/>
          <c:w val="0.95973914003603733"/>
          <c:h val="0.59717376071932871"/>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Report'!$I$7:$I$37</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Report'!$J$7:$J$37</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0-320A-498D-BC56-72D1C6AEDE8E}"/>
            </c:ext>
          </c:extLst>
        </c:ser>
        <c:dLbls>
          <c:showLegendKey val="0"/>
          <c:showVal val="0"/>
          <c:showCatName val="0"/>
          <c:showSerName val="0"/>
          <c:showPercent val="0"/>
          <c:showBubbleSize val="0"/>
        </c:dLbls>
        <c:axId val="379880528"/>
        <c:axId val="379898288"/>
      </c:areaChart>
      <c:catAx>
        <c:axId val="379880528"/>
        <c:scaling>
          <c:orientation val="minMax"/>
        </c:scaling>
        <c:delete val="1"/>
        <c:axPos val="b"/>
        <c:numFmt formatCode="General" sourceLinked="1"/>
        <c:majorTickMark val="out"/>
        <c:minorTickMark val="none"/>
        <c:tickLblPos val="nextTo"/>
        <c:crossAx val="379898288"/>
        <c:crosses val="autoZero"/>
        <c:auto val="1"/>
        <c:lblAlgn val="ctr"/>
        <c:lblOffset val="100"/>
        <c:noMultiLvlLbl val="0"/>
      </c:catAx>
      <c:valAx>
        <c:axId val="379898288"/>
        <c:scaling>
          <c:orientation val="minMax"/>
        </c:scaling>
        <c:delete val="1"/>
        <c:axPos val="l"/>
        <c:numFmt formatCode="0.00" sourceLinked="1"/>
        <c:majorTickMark val="none"/>
        <c:minorTickMark val="none"/>
        <c:tickLblPos val="nextTo"/>
        <c:crossAx val="37988052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41696077486717E-3"/>
          <c:y val="8.9966289481029742E-3"/>
          <c:w val="0.99473583039225133"/>
          <c:h val="0.99100337105189706"/>
        </c:manualLayout>
      </c:layout>
      <c:areaChart>
        <c:grouping val="standard"/>
        <c:varyColors val="0"/>
        <c:ser>
          <c:idx val="0"/>
          <c:order val="0"/>
          <c:tx>
            <c:strRef>
              <c:f>'Pivot Report'!$M$6</c:f>
              <c:strCache>
                <c:ptCount val="1"/>
                <c:pt idx="0">
                  <c:v>Total</c:v>
                </c:pt>
              </c:strCache>
            </c:strRef>
          </c:tx>
          <c:spPr>
            <a:solidFill>
              <a:schemeClr val="accent1"/>
            </a:solidFill>
            <a:ln w="25400">
              <a:noFill/>
            </a:ln>
            <a:effectLst/>
          </c:spPr>
          <c:cat>
            <c:strRef>
              <c:f>'Pivot Report'!$L$7:$L$37</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Report'!$M$7:$M$37</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0-5119-44FC-A1FC-1C9D97D9D37C}"/>
            </c:ext>
          </c:extLst>
        </c:ser>
        <c:dLbls>
          <c:showLegendKey val="0"/>
          <c:showVal val="0"/>
          <c:showCatName val="0"/>
          <c:showSerName val="0"/>
          <c:showPercent val="0"/>
          <c:showBubbleSize val="0"/>
        </c:dLbls>
        <c:axId val="229759632"/>
        <c:axId val="229761552"/>
      </c:areaChart>
      <c:catAx>
        <c:axId val="229759632"/>
        <c:scaling>
          <c:orientation val="minMax"/>
        </c:scaling>
        <c:delete val="1"/>
        <c:axPos val="b"/>
        <c:numFmt formatCode="General" sourceLinked="1"/>
        <c:majorTickMark val="out"/>
        <c:minorTickMark val="none"/>
        <c:tickLblPos val="nextTo"/>
        <c:crossAx val="229761552"/>
        <c:crosses val="autoZero"/>
        <c:auto val="1"/>
        <c:lblAlgn val="ctr"/>
        <c:lblOffset val="100"/>
        <c:noMultiLvlLbl val="0"/>
      </c:catAx>
      <c:valAx>
        <c:axId val="229761552"/>
        <c:scaling>
          <c:orientation val="minMax"/>
        </c:scaling>
        <c:delete val="1"/>
        <c:axPos val="l"/>
        <c:numFmt formatCode="0.00" sourceLinked="1"/>
        <c:majorTickMark val="none"/>
        <c:minorTickMark val="none"/>
        <c:tickLblPos val="nextTo"/>
        <c:crossAx val="2297596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137406882331423E-3"/>
              <c:y val="-0.41783621460339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33784449648260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41984280479642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274813764662847E-3"/>
              <c:y val="-0.413568157779429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274813764662847E-3"/>
              <c:y val="-0.43207302177845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137406882331055E-3"/>
              <c:y val="-0.362385502217328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4403539379854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2295382006556875E-18"/>
              <c:y val="-0.44029005837440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2295382006556875E-18"/>
              <c:y val="-0.44029005837440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4403539379854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137406882331055E-3"/>
              <c:y val="-0.362385502217328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274813764662847E-3"/>
              <c:y val="-0.43207302177845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274813764662847E-3"/>
              <c:y val="-0.413568157779429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41984280479642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137406882331423E-3"/>
              <c:y val="-0.41783621460339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33784449648260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2295382006556875E-18"/>
              <c:y val="-0.44029005837440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4403539379854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137406882331055E-3"/>
              <c:y val="-0.362385502217328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799509212067882E-3"/>
              <c:y val="-0.35631527265385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274813764662847E-3"/>
              <c:y val="-0.413568157779429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41984280479642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137406882331423E-3"/>
              <c:y val="-0.41783621460339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33784449648260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07080617907195E-2"/>
          <c:y val="7.6418332323844138E-2"/>
          <c:w val="0.9545078577336642"/>
          <c:h val="0.70620044917065783"/>
        </c:manualLayout>
      </c:layout>
      <c:barChart>
        <c:barDir val="col"/>
        <c:grouping val="stacked"/>
        <c:varyColors val="0"/>
        <c:ser>
          <c:idx val="0"/>
          <c:order val="0"/>
          <c:tx>
            <c:strRef>
              <c:f>'Pivot Report'!$K$57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F1CA-4D41-AF5B-219ADF95E553}"/>
              </c:ext>
            </c:extLst>
          </c:dPt>
          <c:dPt>
            <c:idx val="1"/>
            <c:invertIfNegative val="0"/>
            <c:bubble3D val="0"/>
            <c:extLst>
              <c:ext xmlns:c16="http://schemas.microsoft.com/office/drawing/2014/chart" uri="{C3380CC4-5D6E-409C-BE32-E72D297353CC}">
                <c16:uniqueId val="{00000001-F1CA-4D41-AF5B-219ADF95E553}"/>
              </c:ext>
            </c:extLst>
          </c:dPt>
          <c:dPt>
            <c:idx val="2"/>
            <c:invertIfNegative val="0"/>
            <c:bubble3D val="0"/>
            <c:extLst>
              <c:ext xmlns:c16="http://schemas.microsoft.com/office/drawing/2014/chart" uri="{C3380CC4-5D6E-409C-BE32-E72D297353CC}">
                <c16:uniqueId val="{00000002-F1CA-4D41-AF5B-219ADF95E553}"/>
              </c:ext>
            </c:extLst>
          </c:dPt>
          <c:dPt>
            <c:idx val="3"/>
            <c:invertIfNegative val="0"/>
            <c:bubble3D val="0"/>
            <c:extLst>
              <c:ext xmlns:c16="http://schemas.microsoft.com/office/drawing/2014/chart" uri="{C3380CC4-5D6E-409C-BE32-E72D297353CC}">
                <c16:uniqueId val="{00000003-F1CA-4D41-AF5B-219ADF95E553}"/>
              </c:ext>
            </c:extLst>
          </c:dPt>
          <c:dPt>
            <c:idx val="4"/>
            <c:invertIfNegative val="0"/>
            <c:bubble3D val="0"/>
            <c:extLst>
              <c:ext xmlns:c16="http://schemas.microsoft.com/office/drawing/2014/chart" uri="{C3380CC4-5D6E-409C-BE32-E72D297353CC}">
                <c16:uniqueId val="{00000004-F1CA-4D41-AF5B-219ADF95E553}"/>
              </c:ext>
            </c:extLst>
          </c:dPt>
          <c:dPt>
            <c:idx val="5"/>
            <c:invertIfNegative val="0"/>
            <c:bubble3D val="0"/>
            <c:extLst>
              <c:ext xmlns:c16="http://schemas.microsoft.com/office/drawing/2014/chart" uri="{C3380CC4-5D6E-409C-BE32-E72D297353CC}">
                <c16:uniqueId val="{00000005-F1CA-4D41-AF5B-219ADF95E553}"/>
              </c:ext>
            </c:extLst>
          </c:dPt>
          <c:dPt>
            <c:idx val="6"/>
            <c:invertIfNegative val="0"/>
            <c:bubble3D val="0"/>
            <c:extLst>
              <c:ext xmlns:c16="http://schemas.microsoft.com/office/drawing/2014/chart" uri="{C3380CC4-5D6E-409C-BE32-E72D297353CC}">
                <c16:uniqueId val="{00000006-F1CA-4D41-AF5B-219ADF95E553}"/>
              </c:ext>
            </c:extLst>
          </c:dPt>
          <c:dPt>
            <c:idx val="7"/>
            <c:invertIfNegative val="0"/>
            <c:bubble3D val="0"/>
            <c:extLst>
              <c:ext xmlns:c16="http://schemas.microsoft.com/office/drawing/2014/chart" uri="{C3380CC4-5D6E-409C-BE32-E72D297353CC}">
                <c16:uniqueId val="{00000007-F1CA-4D41-AF5B-219ADF95E553}"/>
              </c:ext>
            </c:extLst>
          </c:dPt>
          <c:dLbls>
            <c:dLbl>
              <c:idx val="0"/>
              <c:layout>
                <c:manualLayout>
                  <c:x val="-9.2295382006556875E-18"/>
                  <c:y val="-0.440290058374408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CA-4D41-AF5B-219ADF95E553}"/>
                </c:ext>
              </c:extLst>
            </c:dLbl>
            <c:dLbl>
              <c:idx val="1"/>
              <c:layout>
                <c:manualLayout>
                  <c:x val="0"/>
                  <c:y val="-0.440353937985416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CA-4D41-AF5B-219ADF95E553}"/>
                </c:ext>
              </c:extLst>
            </c:dLbl>
            <c:dLbl>
              <c:idx val="2"/>
              <c:layout>
                <c:manualLayout>
                  <c:x val="2.0137406882331055E-3"/>
                  <c:y val="-0.362385502217328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CA-4D41-AF5B-219ADF95E553}"/>
                </c:ext>
              </c:extLst>
            </c:dLbl>
            <c:dLbl>
              <c:idx val="3"/>
              <c:layout>
                <c:manualLayout>
                  <c:x val="1.9799509212067882E-3"/>
                  <c:y val="-0.356315272653855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CA-4D41-AF5B-219ADF95E553}"/>
                </c:ext>
              </c:extLst>
            </c:dLbl>
            <c:dLbl>
              <c:idx val="4"/>
              <c:layout>
                <c:manualLayout>
                  <c:x val="4.0274813764662847E-3"/>
                  <c:y val="-0.413568157779429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CA-4D41-AF5B-219ADF95E553}"/>
                </c:ext>
              </c:extLst>
            </c:dLbl>
            <c:dLbl>
              <c:idx val="5"/>
              <c:layout>
                <c:manualLayout>
                  <c:x val="0"/>
                  <c:y val="-0.419842804796427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CA-4D41-AF5B-219ADF95E553}"/>
                </c:ext>
              </c:extLst>
            </c:dLbl>
            <c:dLbl>
              <c:idx val="6"/>
              <c:layout>
                <c:manualLayout>
                  <c:x val="-2.0137406882331423E-3"/>
                  <c:y val="-0.417836214603392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1CA-4D41-AF5B-219ADF95E553}"/>
                </c:ext>
              </c:extLst>
            </c:dLbl>
            <c:dLbl>
              <c:idx val="7"/>
              <c:layout>
                <c:manualLayout>
                  <c:x val="0"/>
                  <c:y val="-0.333784449648260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CA-4D41-AF5B-219ADF95E5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Report'!$J$58:$J$66</c:f>
              <c:strCache>
                <c:ptCount val="8"/>
                <c:pt idx="0">
                  <c:v>0-9</c:v>
                </c:pt>
                <c:pt idx="1">
                  <c:v>10-19</c:v>
                </c:pt>
                <c:pt idx="2">
                  <c:v>20-29</c:v>
                </c:pt>
                <c:pt idx="3">
                  <c:v>30-39</c:v>
                </c:pt>
                <c:pt idx="4">
                  <c:v>40-49</c:v>
                </c:pt>
                <c:pt idx="5">
                  <c:v>50-59</c:v>
                </c:pt>
                <c:pt idx="6">
                  <c:v>60-69</c:v>
                </c:pt>
                <c:pt idx="7">
                  <c:v>70-79</c:v>
                </c:pt>
              </c:strCache>
            </c:strRef>
          </c:cat>
          <c:val>
            <c:numRef>
              <c:f>'Pivot Report'!$K$58:$K$66</c:f>
              <c:numCache>
                <c:formatCode>0.00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8-EABC-404C-983E-903DC50B948A}"/>
            </c:ext>
          </c:extLst>
        </c:ser>
        <c:dLbls>
          <c:showLegendKey val="0"/>
          <c:showVal val="0"/>
          <c:showCatName val="0"/>
          <c:showSerName val="0"/>
          <c:showPercent val="0"/>
          <c:showBubbleSize val="0"/>
        </c:dLbls>
        <c:gapWidth val="150"/>
        <c:overlap val="100"/>
        <c:axId val="429621183"/>
        <c:axId val="429604863"/>
      </c:barChart>
      <c:catAx>
        <c:axId val="42962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en-US"/>
          </a:p>
        </c:txPr>
        <c:crossAx val="429604863"/>
        <c:crosses val="autoZero"/>
        <c:auto val="1"/>
        <c:lblAlgn val="ctr"/>
        <c:lblOffset val="100"/>
        <c:noMultiLvlLbl val="0"/>
      </c:catAx>
      <c:valAx>
        <c:axId val="429604863"/>
        <c:scaling>
          <c:orientation val="minMax"/>
        </c:scaling>
        <c:delete val="1"/>
        <c:axPos val="l"/>
        <c:numFmt formatCode="0.00" sourceLinked="1"/>
        <c:majorTickMark val="none"/>
        <c:minorTickMark val="none"/>
        <c:tickLblPos val="nextTo"/>
        <c:crossAx val="42962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Report!PivotTable12</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46661797428479"/>
              <c:y val="-7.4985258452026443E-2"/>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776851028426353"/>
              <c:y val="5.861765930962419E-2"/>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08435337352058"/>
              <c:y val="3.437192269447367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830850490933847"/>
              <c:y val="-8.884983110182284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71731498998418"/>
          <c:y val="0.11919233459732646"/>
          <c:w val="0.43055555555555558"/>
          <c:h val="0.71759259259259256"/>
        </c:manualLayout>
      </c:layout>
      <c:pieChart>
        <c:varyColors val="1"/>
        <c:ser>
          <c:idx val="0"/>
          <c:order val="0"/>
          <c:tx>
            <c:strRef>
              <c:f>'Pivot Report'!$K$73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CC-47C1-83E7-AE8C82D8DC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CC-47C1-83E7-AE8C82D8DC53}"/>
              </c:ext>
            </c:extLst>
          </c:dPt>
          <c:dLbls>
            <c:dLbl>
              <c:idx val="0"/>
              <c:layout>
                <c:manualLayout>
                  <c:x val="-0.17830850490933847"/>
                  <c:y val="-8.8849831101822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CC-47C1-83E7-AE8C82D8DC53}"/>
                </c:ext>
              </c:extLst>
            </c:dLbl>
            <c:dLbl>
              <c:idx val="1"/>
              <c:layout>
                <c:manualLayout>
                  <c:x val="0.14608435337352058"/>
                  <c:y val="3.4371922694473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CC-47C1-83E7-AE8C82D8DC5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Report'!$J$74:$J$76</c:f>
              <c:strCache>
                <c:ptCount val="2"/>
                <c:pt idx="0">
                  <c:v>Delay</c:v>
                </c:pt>
                <c:pt idx="1">
                  <c:v>OnTime</c:v>
                </c:pt>
              </c:strCache>
            </c:strRef>
          </c:cat>
          <c:val>
            <c:numRef>
              <c:f>'Pivot Report'!$K$74:$K$76</c:f>
              <c:numCache>
                <c:formatCode>0</c:formatCode>
                <c:ptCount val="2"/>
                <c:pt idx="0">
                  <c:v>276</c:v>
                </c:pt>
                <c:pt idx="1">
                  <c:v>195</c:v>
                </c:pt>
              </c:numCache>
            </c:numRef>
          </c:val>
          <c:extLst>
            <c:ext xmlns:c16="http://schemas.microsoft.com/office/drawing/2014/chart" uri="{C3380CC4-5D6E-409C-BE32-E72D297353CC}">
              <c16:uniqueId val="{00000004-4C02-4D03-86C4-F09A7D0FDD4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260445322493787"/>
          <c:y val="4.9579958402929059E-2"/>
          <c:w val="0.23232101001912114"/>
          <c:h val="0.2393652871250378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Report!PivotTable15</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33"/>
              <c:y val="0.125"/>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33"/>
              <c:y val="0.125"/>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117280851144597"/>
              <c:y val="9.211869778050908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506150472177498E-2"/>
              <c:y val="3.936846323227680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829726218145489"/>
          <c:y val="4.8300235610905434E-2"/>
          <c:w val="0.53054771900218967"/>
          <c:h val="0.74043650052111132"/>
        </c:manualLayout>
      </c:layout>
      <c:doughnutChart>
        <c:varyColors val="1"/>
        <c:ser>
          <c:idx val="0"/>
          <c:order val="0"/>
          <c:tx>
            <c:strRef>
              <c:f>'Pivot Report'!$B$77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32-4052-87E8-C44F62629F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32-4052-87E8-C44F62629F8B}"/>
              </c:ext>
            </c:extLst>
          </c:dPt>
          <c:dLbls>
            <c:dLbl>
              <c:idx val="0"/>
              <c:layout>
                <c:manualLayout>
                  <c:x val="0.10117280851144597"/>
                  <c:y val="9.21186977805090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32-4052-87E8-C44F62629F8B}"/>
                </c:ext>
              </c:extLst>
            </c:dLbl>
            <c:dLbl>
              <c:idx val="1"/>
              <c:layout>
                <c:manualLayout>
                  <c:x val="-8.9506150472177498E-2"/>
                  <c:y val="3.93684632322768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32-4052-87E8-C44F62629F8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0.00</c:formatCode>
                <c:ptCount val="2"/>
                <c:pt idx="0">
                  <c:v>227</c:v>
                </c:pt>
                <c:pt idx="1">
                  <c:v>244</c:v>
                </c:pt>
              </c:numCache>
            </c:numRef>
          </c:val>
          <c:extLst>
            <c:ext xmlns:c16="http://schemas.microsoft.com/office/drawing/2014/chart" uri="{C3380CC4-5D6E-409C-BE32-E72D297353CC}">
              <c16:uniqueId val="{00000004-771F-4DF1-A1EA-D9C3A11EBB26}"/>
            </c:ext>
          </c:extLst>
        </c:ser>
        <c:dLbls>
          <c:showLegendKey val="0"/>
          <c:showVal val="0"/>
          <c:showCatName val="0"/>
          <c:showSerName val="0"/>
          <c:showPercent val="0"/>
          <c:showBubbleSize val="0"/>
          <c:showLeaderLines val="1"/>
        </c:dLbls>
        <c:firstSliceAng val="44"/>
        <c:holeSize val="75"/>
      </c:doughnut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0.71564199058233213"/>
          <c:y val="8.0651360187099175E-2"/>
          <c:w val="0.22208199824346173"/>
          <c:h val="0.239407730743360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Report!PivotTable16</c:name>
    <c:fmtId val="25"/>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9304025078015477E-2"/>
              <c:y val="-1.6500584790353194E-17"/>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5787539184399213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1135526645391445E-2"/>
              <c:y val="-3.6001691796036525E-3"/>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0146517241135642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5641021943263544E-2"/>
              <c:y val="-6.6002339161412777E-17"/>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9304025078015411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7472523510639578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6483514106383573E-2"/>
              <c:y val="-1.3200467832282555E-16"/>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6483514106383573E-2"/>
              <c:y val="-1.3200467832282555E-16"/>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7472523510639578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9304025078015411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5641021943263544E-2"/>
              <c:y val="-6.6002339161412777E-17"/>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0146517241135642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1135526645391445E-2"/>
              <c:y val="-3.6001691796036525E-3"/>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5787539184399213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9304025078015477E-2"/>
              <c:y val="-1.6500584790353194E-17"/>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6483514106383573E-2"/>
              <c:y val="-1.3200467832282555E-16"/>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7472523510639578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9304025078015411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5641021943263544E-2"/>
              <c:y val="-6.6002339161412777E-17"/>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0146517241135642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1135526645391445E-2"/>
              <c:y val="-3.6001691796036525E-3"/>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5787539184399213E-2"/>
              <c:y val="0"/>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9304025078015477E-2"/>
              <c:y val="-1.6500584790353194E-17"/>
            </c:manualLayout>
          </c:layout>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945115288289805"/>
          <c:y val="4.7526875282109859E-2"/>
          <c:w val="0.80697155661171249"/>
          <c:h val="0.82683168604577695"/>
        </c:manualLayout>
      </c:layout>
      <c:bar3DChart>
        <c:barDir val="bar"/>
        <c:grouping val="clustered"/>
        <c:varyColors val="0"/>
        <c:ser>
          <c:idx val="0"/>
          <c:order val="0"/>
          <c:tx>
            <c:strRef>
              <c:f>'Pivot Report'!$B$90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extLst>
              <c:ext xmlns:c16="http://schemas.microsoft.com/office/drawing/2014/chart" uri="{C3380CC4-5D6E-409C-BE32-E72D297353CC}">
                <c16:uniqueId val="{00000000-0DBA-4DEA-BFC6-312DA8BEBF8F}"/>
              </c:ext>
            </c:extLst>
          </c:dPt>
          <c:dPt>
            <c:idx val="1"/>
            <c:invertIfNegative val="0"/>
            <c:bubble3D val="0"/>
            <c:extLst>
              <c:ext xmlns:c16="http://schemas.microsoft.com/office/drawing/2014/chart" uri="{C3380CC4-5D6E-409C-BE32-E72D297353CC}">
                <c16:uniqueId val="{00000001-0DBA-4DEA-BFC6-312DA8BEBF8F}"/>
              </c:ext>
            </c:extLst>
          </c:dPt>
          <c:dPt>
            <c:idx val="2"/>
            <c:invertIfNegative val="0"/>
            <c:bubble3D val="0"/>
            <c:extLst>
              <c:ext xmlns:c16="http://schemas.microsoft.com/office/drawing/2014/chart" uri="{C3380CC4-5D6E-409C-BE32-E72D297353CC}">
                <c16:uniqueId val="{00000002-0DBA-4DEA-BFC6-312DA8BEBF8F}"/>
              </c:ext>
            </c:extLst>
          </c:dPt>
          <c:dPt>
            <c:idx val="3"/>
            <c:invertIfNegative val="0"/>
            <c:bubble3D val="0"/>
            <c:extLst>
              <c:ext xmlns:c16="http://schemas.microsoft.com/office/drawing/2014/chart" uri="{C3380CC4-5D6E-409C-BE32-E72D297353CC}">
                <c16:uniqueId val="{00000003-0DBA-4DEA-BFC6-312DA8BEBF8F}"/>
              </c:ext>
            </c:extLst>
          </c:dPt>
          <c:dPt>
            <c:idx val="4"/>
            <c:invertIfNegative val="0"/>
            <c:bubble3D val="0"/>
            <c:extLst>
              <c:ext xmlns:c16="http://schemas.microsoft.com/office/drawing/2014/chart" uri="{C3380CC4-5D6E-409C-BE32-E72D297353CC}">
                <c16:uniqueId val="{00000004-0DBA-4DEA-BFC6-312DA8BEBF8F}"/>
              </c:ext>
            </c:extLst>
          </c:dPt>
          <c:dPt>
            <c:idx val="5"/>
            <c:invertIfNegative val="0"/>
            <c:bubble3D val="0"/>
            <c:extLst>
              <c:ext xmlns:c16="http://schemas.microsoft.com/office/drawing/2014/chart" uri="{C3380CC4-5D6E-409C-BE32-E72D297353CC}">
                <c16:uniqueId val="{00000005-0DBA-4DEA-BFC6-312DA8BEBF8F}"/>
              </c:ext>
            </c:extLst>
          </c:dPt>
          <c:dPt>
            <c:idx val="6"/>
            <c:invertIfNegative val="0"/>
            <c:bubble3D val="0"/>
            <c:extLst>
              <c:ext xmlns:c16="http://schemas.microsoft.com/office/drawing/2014/chart" uri="{C3380CC4-5D6E-409C-BE32-E72D297353CC}">
                <c16:uniqueId val="{00000006-0DBA-4DEA-BFC6-312DA8BEBF8F}"/>
              </c:ext>
            </c:extLst>
          </c:dPt>
          <c:dPt>
            <c:idx val="7"/>
            <c:invertIfNegative val="0"/>
            <c:bubble3D val="0"/>
            <c:extLst>
              <c:ext xmlns:c16="http://schemas.microsoft.com/office/drawing/2014/chart" uri="{C3380CC4-5D6E-409C-BE32-E72D297353CC}">
                <c16:uniqueId val="{00000007-0DBA-4DEA-BFC6-312DA8BEBF8F}"/>
              </c:ext>
            </c:extLst>
          </c:dPt>
          <c:dLbls>
            <c:dLbl>
              <c:idx val="0"/>
              <c:layout>
                <c:manualLayout>
                  <c:x val="1.6483514106383573E-2"/>
                  <c:y val="-1.3200467832282555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BA-4DEA-BFC6-312DA8BEBF8F}"/>
                </c:ext>
              </c:extLst>
            </c:dLbl>
            <c:dLbl>
              <c:idx val="1"/>
              <c:layout>
                <c:manualLayout>
                  <c:x val="2.747252351063957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BA-4DEA-BFC6-312DA8BEBF8F}"/>
                </c:ext>
              </c:extLst>
            </c:dLbl>
            <c:dLbl>
              <c:idx val="2"/>
              <c:layout>
                <c:manualLayout>
                  <c:x val="2.93040250780154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BA-4DEA-BFC6-312DA8BEBF8F}"/>
                </c:ext>
              </c:extLst>
            </c:dLbl>
            <c:dLbl>
              <c:idx val="3"/>
              <c:layout>
                <c:manualLayout>
                  <c:x val="2.5641021943263544E-2"/>
                  <c:y val="-6.600233916141277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BA-4DEA-BFC6-312DA8BEBF8F}"/>
                </c:ext>
              </c:extLst>
            </c:dLbl>
            <c:dLbl>
              <c:idx val="4"/>
              <c:layout>
                <c:manualLayout>
                  <c:x val="3.1135526645391445E-2"/>
                  <c:y val="-3.60016917960365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BA-4DEA-BFC6-312DA8BEBF8F}"/>
                </c:ext>
              </c:extLst>
            </c:dLbl>
            <c:dLbl>
              <c:idx val="5"/>
              <c:layout>
                <c:manualLayout>
                  <c:x val="2.014651724113564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BA-4DEA-BFC6-312DA8BEBF8F}"/>
                </c:ext>
              </c:extLst>
            </c:dLbl>
            <c:dLbl>
              <c:idx val="6"/>
              <c:layout>
                <c:manualLayout>
                  <c:x val="2.9304025078015477E-2"/>
                  <c:y val="-1.650058479035319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BA-4DEA-BFC6-312DA8BEBF8F}"/>
                </c:ext>
              </c:extLst>
            </c:dLbl>
            <c:dLbl>
              <c:idx val="7"/>
              <c:layout>
                <c:manualLayout>
                  <c:x val="4.57875391843992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BA-4DEA-BFC6-312DA8BEBF8F}"/>
                </c:ext>
              </c:extLst>
            </c:dLbl>
            <c:spPr>
              <a:solidFill>
                <a:srgbClr val="4472C4">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Report'!$A$91:$A$99</c:f>
              <c:strCache>
                <c:ptCount val="8"/>
                <c:pt idx="0">
                  <c:v>None</c:v>
                </c:pt>
                <c:pt idx="1">
                  <c:v>General Practice</c:v>
                </c:pt>
                <c:pt idx="2">
                  <c:v>Orthopedics</c:v>
                </c:pt>
                <c:pt idx="3">
                  <c:v>Physiotherapy</c:v>
                </c:pt>
                <c:pt idx="4">
                  <c:v>Neurology</c:v>
                </c:pt>
                <c:pt idx="5">
                  <c:v>Cardiology</c:v>
                </c:pt>
                <c:pt idx="6">
                  <c:v>Gastroenterology</c:v>
                </c:pt>
                <c:pt idx="7">
                  <c:v>Renal</c:v>
                </c:pt>
              </c:strCache>
            </c:strRef>
          </c:cat>
          <c:val>
            <c:numRef>
              <c:f>'Pivot Report'!$B$91:$B$99</c:f>
              <c:numCache>
                <c:formatCode>0</c:formatCode>
                <c:ptCount val="8"/>
                <c:pt idx="0">
                  <c:v>266</c:v>
                </c:pt>
                <c:pt idx="1">
                  <c:v>96</c:v>
                </c:pt>
                <c:pt idx="2">
                  <c:v>54</c:v>
                </c:pt>
                <c:pt idx="3">
                  <c:v>17</c:v>
                </c:pt>
                <c:pt idx="4">
                  <c:v>15</c:v>
                </c:pt>
                <c:pt idx="5">
                  <c:v>13</c:v>
                </c:pt>
                <c:pt idx="6">
                  <c:v>9</c:v>
                </c:pt>
                <c:pt idx="7">
                  <c:v>1</c:v>
                </c:pt>
              </c:numCache>
            </c:numRef>
          </c:val>
          <c:extLst>
            <c:ext xmlns:c16="http://schemas.microsoft.com/office/drawing/2014/chart" uri="{C3380CC4-5D6E-409C-BE32-E72D297353CC}">
              <c16:uniqueId val="{00000008-30CB-4FCB-8BF6-A1A46E606A1E}"/>
            </c:ext>
          </c:extLst>
        </c:ser>
        <c:dLbls>
          <c:showLegendKey val="0"/>
          <c:showVal val="1"/>
          <c:showCatName val="0"/>
          <c:showSerName val="0"/>
          <c:showPercent val="0"/>
          <c:showBubbleSize val="0"/>
        </c:dLbls>
        <c:gapWidth val="88"/>
        <c:gapDepth val="49"/>
        <c:shape val="box"/>
        <c:axId val="429611583"/>
        <c:axId val="429614463"/>
        <c:axId val="0"/>
      </c:bar3DChart>
      <c:catAx>
        <c:axId val="42961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lt1">
                    <a:lumMod val="75000"/>
                  </a:schemeClr>
                </a:solidFill>
                <a:latin typeface="+mn-lt"/>
                <a:ea typeface="+mn-ea"/>
                <a:cs typeface="+mn-cs"/>
              </a:defRPr>
            </a:pPr>
            <a:endParaRPr lang="en-US"/>
          </a:p>
        </c:txPr>
        <c:crossAx val="429614463"/>
        <c:crosses val="autoZero"/>
        <c:auto val="1"/>
        <c:lblAlgn val="ctr"/>
        <c:lblOffset val="100"/>
        <c:noMultiLvlLbl val="0"/>
      </c:catAx>
      <c:valAx>
        <c:axId val="429614463"/>
        <c:scaling>
          <c:orientation val="minMax"/>
        </c:scaling>
        <c:delete val="1"/>
        <c:axPos val="b"/>
        <c:numFmt formatCode="0" sourceLinked="1"/>
        <c:majorTickMark val="out"/>
        <c:minorTickMark val="none"/>
        <c:tickLblPos val="nextTo"/>
        <c:crossAx val="42961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298514900827269E-2"/>
          <c:y val="5.7366014732029451E-2"/>
          <c:w val="0.99194488004270398"/>
          <c:h val="0.8652602576463656"/>
        </c:manualLayout>
      </c:layout>
      <c:areaChart>
        <c:grouping val="standard"/>
        <c:varyColors val="0"/>
        <c:ser>
          <c:idx val="0"/>
          <c:order val="0"/>
          <c:tx>
            <c:strRef>
              <c:f>'Pivot Report'!$F$6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Report'!$E$7:$E$37</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Report'!$F$7:$F$37</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0-318E-4084-AC82-0B5495E01B8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79942928"/>
        <c:axId val="379944368"/>
      </c:areaChart>
      <c:catAx>
        <c:axId val="3799429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379944368"/>
        <c:crosses val="autoZero"/>
        <c:auto val="1"/>
        <c:lblAlgn val="ctr"/>
        <c:lblOffset val="100"/>
        <c:noMultiLvlLbl val="0"/>
      </c:catAx>
      <c:valAx>
        <c:axId val="379944368"/>
        <c:scaling>
          <c:orientation val="minMax"/>
        </c:scaling>
        <c:delete val="1"/>
        <c:axPos val="l"/>
        <c:numFmt formatCode="General" sourceLinked="1"/>
        <c:majorTickMark val="out"/>
        <c:minorTickMark val="none"/>
        <c:tickLblPos val="nextTo"/>
        <c:crossAx val="379942928"/>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41340508537061E-2"/>
          <c:y val="7.3480106304703544E-2"/>
          <c:w val="0.94519598834212815"/>
          <c:h val="0.56824037162718677"/>
        </c:manualLayout>
      </c:layout>
      <c:areaChart>
        <c:grouping val="standard"/>
        <c:varyColors val="0"/>
        <c:ser>
          <c:idx val="0"/>
          <c:order val="0"/>
          <c:tx>
            <c:strRef>
              <c:f>'Pivot Report'!$J$6</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Report'!$I$7:$I$37</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Report'!$J$7:$J$37</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0-902F-4DAE-AAD0-D03B87014AAA}"/>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379880528"/>
        <c:axId val="379898288"/>
      </c:areaChart>
      <c:catAx>
        <c:axId val="3798805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379898288"/>
        <c:crosses val="autoZero"/>
        <c:auto val="1"/>
        <c:lblAlgn val="ctr"/>
        <c:lblOffset val="100"/>
        <c:noMultiLvlLbl val="0"/>
      </c:catAx>
      <c:valAx>
        <c:axId val="3798982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crossAx val="379880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70885071335249E-2"/>
          <c:y val="0.16979394064998704"/>
          <c:w val="0.93127660745216256"/>
          <c:h val="0.65567242073255039"/>
        </c:manualLayout>
      </c:layout>
      <c:areaChart>
        <c:grouping val="standard"/>
        <c:varyColors val="0"/>
        <c:ser>
          <c:idx val="0"/>
          <c:order val="0"/>
          <c:tx>
            <c:strRef>
              <c:f>'Pivot Report'!$M$6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Report'!$L$7:$L$37</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Report'!$M$7:$M$37</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0-C742-43C3-BF55-8F53EF99B533}"/>
            </c:ext>
          </c:extLst>
        </c:ser>
        <c:dLbls>
          <c:showLegendKey val="0"/>
          <c:showVal val="0"/>
          <c:showCatName val="0"/>
          <c:showSerName val="0"/>
          <c:showPercent val="0"/>
          <c:showBubbleSize val="0"/>
        </c:dLbls>
        <c:axId val="229759632"/>
        <c:axId val="229761552"/>
      </c:areaChart>
      <c:catAx>
        <c:axId val="2297596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29761552"/>
        <c:crosses val="autoZero"/>
        <c:auto val="1"/>
        <c:lblAlgn val="ctr"/>
        <c:lblOffset val="100"/>
        <c:noMultiLvlLbl val="0"/>
      </c:catAx>
      <c:valAx>
        <c:axId val="2297615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229759632"/>
        <c:crosses val="autoZero"/>
        <c:crossBetween val="midCat"/>
      </c:valAx>
      <c:spPr>
        <a:noFill/>
        <a:ln>
          <a:solidFill>
            <a:schemeClr val="accent1">
              <a:lumMod val="60000"/>
              <a:lumOff val="40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Patient Satisfaction Score'!A1"/><Relationship Id="rId17" Type="http://schemas.openxmlformats.org/officeDocument/2006/relationships/chart" Target="../charts/chart7.xml"/><Relationship Id="rId2" Type="http://schemas.openxmlformats.org/officeDocument/2006/relationships/hyperlink" Target="#'Daily ER no. of Patients'!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ergae wait Time '!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11656</xdr:colOff>
      <xdr:row>55</xdr:row>
      <xdr:rowOff>6627</xdr:rowOff>
    </xdr:from>
    <xdr:to>
      <xdr:col>5</xdr:col>
      <xdr:colOff>13252</xdr:colOff>
      <xdr:row>57</xdr:row>
      <xdr:rowOff>152402</xdr:rowOff>
    </xdr:to>
    <xdr:graphicFrame macro="">
      <xdr:nvGraphicFramePr>
        <xdr:cNvPr id="27" name="Chart 26">
          <a:extLst>
            <a:ext uri="{FF2B5EF4-FFF2-40B4-BE49-F238E27FC236}">
              <a16:creationId xmlns:a16="http://schemas.microsoft.com/office/drawing/2014/main" id="{CD4466FB-575C-857B-FA3F-D4070C2A5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104030</xdr:colOff>
      <xdr:row>0</xdr:row>
      <xdr:rowOff>101048</xdr:rowOff>
    </xdr:from>
    <xdr:to>
      <xdr:col>8</xdr:col>
      <xdr:colOff>241190</xdr:colOff>
      <xdr:row>4</xdr:row>
      <xdr:rowOff>101048</xdr:rowOff>
    </xdr:to>
    <xdr:sp macro="" textlink="">
      <xdr:nvSpPr>
        <xdr:cNvPr id="3" name="Rectangle: Rounded Corners 2">
          <a:extLst>
            <a:ext uri="{FF2B5EF4-FFF2-40B4-BE49-F238E27FC236}">
              <a16:creationId xmlns:a16="http://schemas.microsoft.com/office/drawing/2014/main" id="{BEC54781-6D91-6386-2586-36CB3393702B}"/>
            </a:ext>
          </a:extLst>
        </xdr:cNvPr>
        <xdr:cNvSpPr/>
      </xdr:nvSpPr>
      <xdr:spPr>
        <a:xfrm>
          <a:off x="104030" y="101048"/>
          <a:ext cx="5013960" cy="742122"/>
        </a:xfrm>
        <a:prstGeom prst="roundRect">
          <a:avLst>
            <a:gd name="adj" fmla="val 79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73511</xdr:colOff>
      <xdr:row>4</xdr:row>
      <xdr:rowOff>137160</xdr:rowOff>
    </xdr:from>
    <xdr:to>
      <xdr:col>2</xdr:col>
      <xdr:colOff>80683</xdr:colOff>
      <xdr:row>32</xdr:row>
      <xdr:rowOff>17929</xdr:rowOff>
    </xdr:to>
    <xdr:sp macro="" textlink="">
      <xdr:nvSpPr>
        <xdr:cNvPr id="4" name="Rectangle: Rounded Corners 3">
          <a:extLst>
            <a:ext uri="{FF2B5EF4-FFF2-40B4-BE49-F238E27FC236}">
              <a16:creationId xmlns:a16="http://schemas.microsoft.com/office/drawing/2014/main" id="{5A939B43-BB72-861F-293D-CD965A54FB82}"/>
            </a:ext>
          </a:extLst>
        </xdr:cNvPr>
        <xdr:cNvSpPr/>
      </xdr:nvSpPr>
      <xdr:spPr>
        <a:xfrm>
          <a:off x="73511" y="854336"/>
          <a:ext cx="1226372" cy="4901005"/>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218254</xdr:colOff>
      <xdr:row>5</xdr:row>
      <xdr:rowOff>27</xdr:rowOff>
    </xdr:from>
    <xdr:to>
      <xdr:col>5</xdr:col>
      <xdr:colOff>540460</xdr:colOff>
      <xdr:row>11</xdr:row>
      <xdr:rowOff>45747</xdr:rowOff>
    </xdr:to>
    <xdr:sp macro="" textlink="">
      <xdr:nvSpPr>
        <xdr:cNvPr id="6" name="Rectangle: Rounded Corners 5">
          <a:extLst>
            <a:ext uri="{FF2B5EF4-FFF2-40B4-BE49-F238E27FC236}">
              <a16:creationId xmlns:a16="http://schemas.microsoft.com/office/drawing/2014/main" id="{AB5A462A-374B-7C2E-00B8-C2E87F0CC5B6}"/>
            </a:ext>
          </a:extLst>
        </xdr:cNvPr>
        <xdr:cNvSpPr/>
      </xdr:nvSpPr>
      <xdr:spPr>
        <a:xfrm>
          <a:off x="1437454" y="914427"/>
          <a:ext cx="2151006" cy="1143000"/>
        </a:xfrm>
        <a:prstGeom prst="roundRect">
          <a:avLst>
            <a:gd name="adj" fmla="val 3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13</xdr:col>
      <xdr:colOff>22411</xdr:colOff>
      <xdr:row>0</xdr:row>
      <xdr:rowOff>17930</xdr:rowOff>
    </xdr:from>
    <xdr:to>
      <xdr:col>17</xdr:col>
      <xdr:colOff>548191</xdr:colOff>
      <xdr:row>11</xdr:row>
      <xdr:rowOff>98613</xdr:rowOff>
    </xdr:to>
    <xdr:sp macro="" textlink="">
      <xdr:nvSpPr>
        <xdr:cNvPr id="9" name="Rectangle: Rounded Corners 8">
          <a:extLst>
            <a:ext uri="{FF2B5EF4-FFF2-40B4-BE49-F238E27FC236}">
              <a16:creationId xmlns:a16="http://schemas.microsoft.com/office/drawing/2014/main" id="{516E1656-629A-F1D7-7BA7-CE3EB3AF2AE1}"/>
            </a:ext>
          </a:extLst>
        </xdr:cNvPr>
        <xdr:cNvSpPr/>
      </xdr:nvSpPr>
      <xdr:spPr>
        <a:xfrm>
          <a:off x="7954831" y="17930"/>
          <a:ext cx="2964180" cy="2052918"/>
        </a:xfrm>
        <a:prstGeom prst="roundRect">
          <a:avLst>
            <a:gd name="adj" fmla="val 110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17</xdr:col>
      <xdr:colOff>593207</xdr:colOff>
      <xdr:row>0</xdr:row>
      <xdr:rowOff>10886</xdr:rowOff>
    </xdr:from>
    <xdr:to>
      <xdr:col>22</xdr:col>
      <xdr:colOff>509387</xdr:colOff>
      <xdr:row>11</xdr:row>
      <xdr:rowOff>76200</xdr:rowOff>
    </xdr:to>
    <xdr:sp macro="" textlink="">
      <xdr:nvSpPr>
        <xdr:cNvPr id="10" name="Rectangle: Rounded Corners 9">
          <a:extLst>
            <a:ext uri="{FF2B5EF4-FFF2-40B4-BE49-F238E27FC236}">
              <a16:creationId xmlns:a16="http://schemas.microsoft.com/office/drawing/2014/main" id="{2FFA2D53-7F4A-E276-D10F-BE96150E8ACF}"/>
            </a:ext>
          </a:extLst>
        </xdr:cNvPr>
        <xdr:cNvSpPr/>
      </xdr:nvSpPr>
      <xdr:spPr>
        <a:xfrm>
          <a:off x="10964027" y="10886"/>
          <a:ext cx="2964180" cy="2106149"/>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152400</xdr:colOff>
      <xdr:row>16</xdr:row>
      <xdr:rowOff>139128</xdr:rowOff>
    </xdr:from>
    <xdr:to>
      <xdr:col>12</xdr:col>
      <xdr:colOff>171284</xdr:colOff>
      <xdr:row>28</xdr:row>
      <xdr:rowOff>85789</xdr:rowOff>
    </xdr:to>
    <xdr:sp macro="" textlink="">
      <xdr:nvSpPr>
        <xdr:cNvPr id="11" name="Rectangle: Rounded Corners 10">
          <a:extLst>
            <a:ext uri="{FF2B5EF4-FFF2-40B4-BE49-F238E27FC236}">
              <a16:creationId xmlns:a16="http://schemas.microsoft.com/office/drawing/2014/main" id="{F6CE5CBA-7879-55B8-E6CB-46AAE081438B}"/>
            </a:ext>
          </a:extLst>
        </xdr:cNvPr>
        <xdr:cNvSpPr/>
      </xdr:nvSpPr>
      <xdr:spPr>
        <a:xfrm>
          <a:off x="1371600" y="3107615"/>
          <a:ext cx="6122504" cy="2173026"/>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13</xdr:col>
      <xdr:colOff>43180</xdr:colOff>
      <xdr:row>11</xdr:row>
      <xdr:rowOff>140495</xdr:rowOff>
    </xdr:from>
    <xdr:to>
      <xdr:col>22</xdr:col>
      <xdr:colOff>517313</xdr:colOff>
      <xdr:row>28</xdr:row>
      <xdr:rowOff>177800</xdr:rowOff>
    </xdr:to>
    <xdr:sp macro="" textlink="">
      <xdr:nvSpPr>
        <xdr:cNvPr id="13" name="Rectangle: Rounded Corners 12">
          <a:extLst>
            <a:ext uri="{FF2B5EF4-FFF2-40B4-BE49-F238E27FC236}">
              <a16:creationId xmlns:a16="http://schemas.microsoft.com/office/drawing/2014/main" id="{C0EB79A5-3AF0-44B6-828A-B75094CC977C}"/>
            </a:ext>
          </a:extLst>
        </xdr:cNvPr>
        <xdr:cNvSpPr/>
      </xdr:nvSpPr>
      <xdr:spPr>
        <a:xfrm>
          <a:off x="7975600" y="2189428"/>
          <a:ext cx="5960533" cy="3203839"/>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159025</xdr:colOff>
      <xdr:row>0</xdr:row>
      <xdr:rowOff>165652</xdr:rowOff>
    </xdr:from>
    <xdr:to>
      <xdr:col>6</xdr:col>
      <xdr:colOff>236220</xdr:colOff>
      <xdr:row>4</xdr:row>
      <xdr:rowOff>0</xdr:rowOff>
    </xdr:to>
    <xdr:sp macro="" textlink="">
      <xdr:nvSpPr>
        <xdr:cNvPr id="21" name="TextBox 20">
          <a:extLst>
            <a:ext uri="{FF2B5EF4-FFF2-40B4-BE49-F238E27FC236}">
              <a16:creationId xmlns:a16="http://schemas.microsoft.com/office/drawing/2014/main" id="{B3E0267D-80F6-8FAA-ACDE-853C413E4298}"/>
            </a:ext>
          </a:extLst>
        </xdr:cNvPr>
        <xdr:cNvSpPr txBox="1"/>
      </xdr:nvSpPr>
      <xdr:spPr>
        <a:xfrm>
          <a:off x="159025" y="165652"/>
          <a:ext cx="3734795" cy="56586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b="1"/>
            <a:t>Hospital Emergency Room DashBoard</a:t>
          </a:r>
        </a:p>
      </xdr:txBody>
    </xdr:sp>
    <xdr:clientData/>
  </xdr:twoCellAnchor>
  <xdr:twoCellAnchor editAs="oneCell">
    <xdr:from>
      <xdr:col>5</xdr:col>
      <xdr:colOff>573102</xdr:colOff>
      <xdr:row>0</xdr:row>
      <xdr:rowOff>0</xdr:rowOff>
    </xdr:from>
    <xdr:to>
      <xdr:col>8</xdr:col>
      <xdr:colOff>443516</xdr:colOff>
      <xdr:row>5</xdr:row>
      <xdr:rowOff>17929</xdr:rowOff>
    </xdr:to>
    <xdr:pic>
      <xdr:nvPicPr>
        <xdr:cNvPr id="23" name="Picture 22">
          <a:extLst>
            <a:ext uri="{FF2B5EF4-FFF2-40B4-BE49-F238E27FC236}">
              <a16:creationId xmlns:a16="http://schemas.microsoft.com/office/drawing/2014/main" id="{5A6D148F-E058-C726-A837-E74831713E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21102" y="0"/>
          <a:ext cx="1699214" cy="914400"/>
        </a:xfrm>
        <a:prstGeom prst="rect">
          <a:avLst/>
        </a:prstGeom>
      </xdr:spPr>
    </xdr:pic>
    <xdr:clientData/>
  </xdr:twoCellAnchor>
  <xdr:twoCellAnchor>
    <xdr:from>
      <xdr:col>2</xdr:col>
      <xdr:colOff>563519</xdr:colOff>
      <xdr:row>5</xdr:row>
      <xdr:rowOff>104347</xdr:rowOff>
    </xdr:from>
    <xdr:to>
      <xdr:col>5</xdr:col>
      <xdr:colOff>159659</xdr:colOff>
      <xdr:row>7</xdr:row>
      <xdr:rowOff>12695</xdr:rowOff>
    </xdr:to>
    <xdr:sp macro="" textlink="'Pivot Report'!A6">
      <xdr:nvSpPr>
        <xdr:cNvPr id="24" name="TextBox 23">
          <a:extLst>
            <a:ext uri="{FF2B5EF4-FFF2-40B4-BE49-F238E27FC236}">
              <a16:creationId xmlns:a16="http://schemas.microsoft.com/office/drawing/2014/main" id="{D48558C9-9F4A-D8BA-009F-5703AB06ABD1}"/>
            </a:ext>
          </a:extLst>
        </xdr:cNvPr>
        <xdr:cNvSpPr txBox="1"/>
      </xdr:nvSpPr>
      <xdr:spPr>
        <a:xfrm>
          <a:off x="1782719" y="1018747"/>
          <a:ext cx="1424940" cy="27410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86ED1-4399-49C0-8309-3818EC7AD53A}" type="TxLink">
            <a:rPr lang="en-US" sz="1400" b="1" i="0" u="none" strike="noStrike">
              <a:solidFill>
                <a:srgbClr val="000000"/>
              </a:solidFill>
              <a:latin typeface="Calibri"/>
              <a:ea typeface="Calibri"/>
              <a:cs typeface="Calibri"/>
            </a:rPr>
            <a:pPr algn="ctr"/>
            <a:t>471</a:t>
          </a:fld>
          <a:endParaRPr lang="en-IN" sz="1400" b="1"/>
        </a:p>
      </xdr:txBody>
    </xdr:sp>
    <xdr:clientData/>
  </xdr:twoCellAnchor>
  <xdr:twoCellAnchor>
    <xdr:from>
      <xdr:col>2</xdr:col>
      <xdr:colOff>444138</xdr:colOff>
      <xdr:row>6</xdr:row>
      <xdr:rowOff>126274</xdr:rowOff>
    </xdr:from>
    <xdr:to>
      <xdr:col>5</xdr:col>
      <xdr:colOff>283029</xdr:colOff>
      <xdr:row>8</xdr:row>
      <xdr:rowOff>78377</xdr:rowOff>
    </xdr:to>
    <xdr:sp macro="" textlink="">
      <xdr:nvSpPr>
        <xdr:cNvPr id="25" name="TextBox 24">
          <a:hlinkClick xmlns:r="http://schemas.openxmlformats.org/officeDocument/2006/relationships" r:id="rId2"/>
          <a:extLst>
            <a:ext uri="{FF2B5EF4-FFF2-40B4-BE49-F238E27FC236}">
              <a16:creationId xmlns:a16="http://schemas.microsoft.com/office/drawing/2014/main" id="{40D453DE-076F-1DE0-B374-333A68DBDCBD}"/>
            </a:ext>
          </a:extLst>
        </xdr:cNvPr>
        <xdr:cNvSpPr txBox="1"/>
      </xdr:nvSpPr>
      <xdr:spPr>
        <a:xfrm>
          <a:off x="1663338" y="1223554"/>
          <a:ext cx="1667691" cy="31786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Patient</a:t>
          </a:r>
          <a:endParaRPr lang="en-IN" sz="1200" b="1"/>
        </a:p>
      </xdr:txBody>
    </xdr:sp>
    <xdr:clientData/>
  </xdr:twoCellAnchor>
  <xdr:twoCellAnchor editAs="absolute">
    <xdr:from>
      <xdr:col>5</xdr:col>
      <xdr:colOff>554198</xdr:colOff>
      <xdr:row>5</xdr:row>
      <xdr:rowOff>18</xdr:rowOff>
    </xdr:from>
    <xdr:to>
      <xdr:col>9</xdr:col>
      <xdr:colOff>268242</xdr:colOff>
      <xdr:row>11</xdr:row>
      <xdr:rowOff>45738</xdr:rowOff>
    </xdr:to>
    <xdr:sp macro="" textlink="">
      <xdr:nvSpPr>
        <xdr:cNvPr id="26" name="Rectangle: Rounded Corners 25">
          <a:extLst>
            <a:ext uri="{FF2B5EF4-FFF2-40B4-BE49-F238E27FC236}">
              <a16:creationId xmlns:a16="http://schemas.microsoft.com/office/drawing/2014/main" id="{547D11BC-DCF8-D5B2-EB2C-B3595F8E0D02}"/>
            </a:ext>
          </a:extLst>
        </xdr:cNvPr>
        <xdr:cNvSpPr/>
      </xdr:nvSpPr>
      <xdr:spPr>
        <a:xfrm>
          <a:off x="3602198" y="914418"/>
          <a:ext cx="2152444" cy="1143000"/>
        </a:xfrm>
        <a:prstGeom prst="roundRect">
          <a:avLst>
            <a:gd name="adj" fmla="val 5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9</xdr:col>
      <xdr:colOff>311863</xdr:colOff>
      <xdr:row>5</xdr:row>
      <xdr:rowOff>4999</xdr:rowOff>
    </xdr:from>
    <xdr:to>
      <xdr:col>12</xdr:col>
      <xdr:colOff>606504</xdr:colOff>
      <xdr:row>11</xdr:row>
      <xdr:rowOff>78607</xdr:rowOff>
    </xdr:to>
    <xdr:sp macro="" textlink="">
      <xdr:nvSpPr>
        <xdr:cNvPr id="27" name="Rectangle: Rounded Corners 26">
          <a:extLst>
            <a:ext uri="{FF2B5EF4-FFF2-40B4-BE49-F238E27FC236}">
              <a16:creationId xmlns:a16="http://schemas.microsoft.com/office/drawing/2014/main" id="{8C883331-DCE0-5CB2-6478-66BB3CAE43D6}"/>
            </a:ext>
          </a:extLst>
        </xdr:cNvPr>
        <xdr:cNvSpPr/>
      </xdr:nvSpPr>
      <xdr:spPr>
        <a:xfrm>
          <a:off x="5798263" y="932651"/>
          <a:ext cx="2131061" cy="1186791"/>
        </a:xfrm>
        <a:prstGeom prst="roundRect">
          <a:avLst>
            <a:gd name="adj" fmla="val 79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xdr:col>
      <xdr:colOff>189283</xdr:colOff>
      <xdr:row>5</xdr:row>
      <xdr:rowOff>5501</xdr:rowOff>
    </xdr:from>
    <xdr:to>
      <xdr:col>3</xdr:col>
      <xdr:colOff>73790</xdr:colOff>
      <xdr:row>7</xdr:row>
      <xdr:rowOff>143948</xdr:rowOff>
    </xdr:to>
    <xdr:pic>
      <xdr:nvPicPr>
        <xdr:cNvPr id="29" name="Graphic 28" descr="Male profile with solid fill">
          <a:extLst>
            <a:ext uri="{FF2B5EF4-FFF2-40B4-BE49-F238E27FC236}">
              <a16:creationId xmlns:a16="http://schemas.microsoft.com/office/drawing/2014/main" id="{F55E83CE-A106-A034-10B8-DAE1EF4698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8483" y="919901"/>
          <a:ext cx="494107" cy="504207"/>
        </a:xfrm>
        <a:prstGeom prst="rect">
          <a:avLst/>
        </a:prstGeom>
      </xdr:spPr>
    </xdr:pic>
    <xdr:clientData/>
  </xdr:twoCellAnchor>
  <xdr:twoCellAnchor>
    <xdr:from>
      <xdr:col>6</xdr:col>
      <xdr:colOff>367592</xdr:colOff>
      <xdr:row>5</xdr:row>
      <xdr:rowOff>24634</xdr:rowOff>
    </xdr:from>
    <xdr:to>
      <xdr:col>8</xdr:col>
      <xdr:colOff>374219</xdr:colOff>
      <xdr:row>7</xdr:row>
      <xdr:rowOff>11383</xdr:rowOff>
    </xdr:to>
    <xdr:sp macro="" textlink="'Pivot Report'!A14">
      <xdr:nvSpPr>
        <xdr:cNvPr id="30" name="TextBox 29">
          <a:extLst>
            <a:ext uri="{FF2B5EF4-FFF2-40B4-BE49-F238E27FC236}">
              <a16:creationId xmlns:a16="http://schemas.microsoft.com/office/drawing/2014/main" id="{A32BE4BB-0E68-B64B-A3F4-D42B1C9166DB}"/>
            </a:ext>
          </a:extLst>
        </xdr:cNvPr>
        <xdr:cNvSpPr txBox="1"/>
      </xdr:nvSpPr>
      <xdr:spPr>
        <a:xfrm>
          <a:off x="4025192" y="933172"/>
          <a:ext cx="1225827" cy="35016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0F86D8-34BE-4482-AF17-2D9644F72D11}" type="TxLink">
            <a:rPr lang="en-US" sz="1400" b="1" i="0" u="none" strike="noStrike">
              <a:solidFill>
                <a:srgbClr val="000000"/>
              </a:solidFill>
              <a:latin typeface="Calibri"/>
              <a:ea typeface="Calibri"/>
              <a:cs typeface="Calibri"/>
            </a:rPr>
            <a:pPr algn="ctr"/>
            <a:t>34.05</a:t>
          </a:fld>
          <a:endParaRPr lang="en-IN" sz="1400" b="1"/>
        </a:p>
      </xdr:txBody>
    </xdr:sp>
    <xdr:clientData/>
  </xdr:twoCellAnchor>
  <xdr:twoCellAnchor>
    <xdr:from>
      <xdr:col>6</xdr:col>
      <xdr:colOff>370520</xdr:colOff>
      <xdr:row>6</xdr:row>
      <xdr:rowOff>120955</xdr:rowOff>
    </xdr:from>
    <xdr:to>
      <xdr:col>8</xdr:col>
      <xdr:colOff>555006</xdr:colOff>
      <xdr:row>9</xdr:row>
      <xdr:rowOff>32723</xdr:rowOff>
    </xdr:to>
    <xdr:sp macro="" textlink="">
      <xdr:nvSpPr>
        <xdr:cNvPr id="31" name="TextBox 30">
          <a:extLst>
            <a:ext uri="{FF2B5EF4-FFF2-40B4-BE49-F238E27FC236}">
              <a16:creationId xmlns:a16="http://schemas.microsoft.com/office/drawing/2014/main" id="{799A2B60-6761-9EE9-940C-D7F2724ADD0E}"/>
            </a:ext>
          </a:extLst>
        </xdr:cNvPr>
        <xdr:cNvSpPr txBox="1"/>
      </xdr:nvSpPr>
      <xdr:spPr>
        <a:xfrm>
          <a:off x="4028120" y="1224541"/>
          <a:ext cx="1403686" cy="4635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Avg</a:t>
          </a:r>
          <a:r>
            <a:rPr lang="en-IN" sz="1200" b="1" baseline="0"/>
            <a:t> WaitTime(Min)</a:t>
          </a:r>
        </a:p>
        <a:p>
          <a:pPr algn="ctr"/>
          <a:endParaRPr lang="en-IN" sz="1200"/>
        </a:p>
      </xdr:txBody>
    </xdr:sp>
    <xdr:clientData/>
  </xdr:twoCellAnchor>
  <xdr:twoCellAnchor editAs="oneCell">
    <xdr:from>
      <xdr:col>5</xdr:col>
      <xdr:colOff>520527</xdr:colOff>
      <xdr:row>4</xdr:row>
      <xdr:rowOff>182232</xdr:rowOff>
    </xdr:from>
    <xdr:to>
      <xdr:col>6</xdr:col>
      <xdr:colOff>368068</xdr:colOff>
      <xdr:row>7</xdr:row>
      <xdr:rowOff>76200</xdr:rowOff>
    </xdr:to>
    <xdr:pic>
      <xdr:nvPicPr>
        <xdr:cNvPr id="33" name="Graphic 32" descr="Clock with solid fill">
          <a:extLst>
            <a:ext uri="{FF2B5EF4-FFF2-40B4-BE49-F238E27FC236}">
              <a16:creationId xmlns:a16="http://schemas.microsoft.com/office/drawing/2014/main" id="{E6589BA6-3307-45E7-0A82-433F2A9736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68527" y="920169"/>
          <a:ext cx="457141" cy="447420"/>
        </a:xfrm>
        <a:prstGeom prst="rect">
          <a:avLst/>
        </a:prstGeom>
      </xdr:spPr>
    </xdr:pic>
    <xdr:clientData/>
  </xdr:twoCellAnchor>
  <xdr:twoCellAnchor>
    <xdr:from>
      <xdr:col>6</xdr:col>
      <xdr:colOff>383107</xdr:colOff>
      <xdr:row>5</xdr:row>
      <xdr:rowOff>16734</xdr:rowOff>
    </xdr:from>
    <xdr:to>
      <xdr:col>6</xdr:col>
      <xdr:colOff>385011</xdr:colOff>
      <xdr:row>7</xdr:row>
      <xdr:rowOff>52137</xdr:rowOff>
    </xdr:to>
    <xdr:cxnSp macro="">
      <xdr:nvCxnSpPr>
        <xdr:cNvPr id="35" name="Straight Connector 34">
          <a:extLst>
            <a:ext uri="{FF2B5EF4-FFF2-40B4-BE49-F238E27FC236}">
              <a16:creationId xmlns:a16="http://schemas.microsoft.com/office/drawing/2014/main" id="{303920AF-F774-3935-3D52-91C65C13835D}"/>
            </a:ext>
          </a:extLst>
        </xdr:cNvPr>
        <xdr:cNvCxnSpPr/>
      </xdr:nvCxnSpPr>
      <xdr:spPr>
        <a:xfrm>
          <a:off x="4040707" y="939155"/>
          <a:ext cx="1904" cy="40437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552249</xdr:colOff>
      <xdr:row>7</xdr:row>
      <xdr:rowOff>56148</xdr:rowOff>
    </xdr:from>
    <xdr:to>
      <xdr:col>6</xdr:col>
      <xdr:colOff>389021</xdr:colOff>
      <xdr:row>7</xdr:row>
      <xdr:rowOff>58955</xdr:rowOff>
    </xdr:to>
    <xdr:cxnSp macro="">
      <xdr:nvCxnSpPr>
        <xdr:cNvPr id="39" name="Straight Connector 38">
          <a:extLst>
            <a:ext uri="{FF2B5EF4-FFF2-40B4-BE49-F238E27FC236}">
              <a16:creationId xmlns:a16="http://schemas.microsoft.com/office/drawing/2014/main" id="{C36E8355-AD6D-5F94-2BC6-7CF22C5AFFE1}"/>
            </a:ext>
          </a:extLst>
        </xdr:cNvPr>
        <xdr:cNvCxnSpPr/>
      </xdr:nvCxnSpPr>
      <xdr:spPr>
        <a:xfrm flipV="1">
          <a:off x="3600249" y="1347537"/>
          <a:ext cx="446372" cy="28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230778</xdr:colOff>
      <xdr:row>7</xdr:row>
      <xdr:rowOff>100149</xdr:rowOff>
    </xdr:from>
    <xdr:to>
      <xdr:col>3</xdr:col>
      <xdr:colOff>60960</xdr:colOff>
      <xdr:row>7</xdr:row>
      <xdr:rowOff>104503</xdr:rowOff>
    </xdr:to>
    <xdr:cxnSp macro="">
      <xdr:nvCxnSpPr>
        <xdr:cNvPr id="48" name="Straight Connector 47">
          <a:extLst>
            <a:ext uri="{FF2B5EF4-FFF2-40B4-BE49-F238E27FC236}">
              <a16:creationId xmlns:a16="http://schemas.microsoft.com/office/drawing/2014/main" id="{148BC007-344D-9AB5-0B52-0FD76B069ED5}"/>
            </a:ext>
          </a:extLst>
        </xdr:cNvPr>
        <xdr:cNvCxnSpPr/>
      </xdr:nvCxnSpPr>
      <xdr:spPr>
        <a:xfrm flipV="1">
          <a:off x="1449978" y="1380309"/>
          <a:ext cx="439782" cy="435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61225</xdr:colOff>
      <xdr:row>5</xdr:row>
      <xdr:rowOff>2085</xdr:rowOff>
    </xdr:from>
    <xdr:to>
      <xdr:col>3</xdr:col>
      <xdr:colOff>65314</xdr:colOff>
      <xdr:row>7</xdr:row>
      <xdr:rowOff>121920</xdr:rowOff>
    </xdr:to>
    <xdr:cxnSp macro="">
      <xdr:nvCxnSpPr>
        <xdr:cNvPr id="50" name="Straight Connector 49">
          <a:extLst>
            <a:ext uri="{FF2B5EF4-FFF2-40B4-BE49-F238E27FC236}">
              <a16:creationId xmlns:a16="http://schemas.microsoft.com/office/drawing/2014/main" id="{7AECB496-9169-F0DD-A7A9-CAAD1D911586}"/>
            </a:ext>
          </a:extLst>
        </xdr:cNvPr>
        <xdr:cNvCxnSpPr/>
      </xdr:nvCxnSpPr>
      <xdr:spPr>
        <a:xfrm>
          <a:off x="1890025" y="916485"/>
          <a:ext cx="4089" cy="48559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321189</xdr:colOff>
      <xdr:row>5</xdr:row>
      <xdr:rowOff>51168</xdr:rowOff>
    </xdr:from>
    <xdr:to>
      <xdr:col>12</xdr:col>
      <xdr:colOff>35757</xdr:colOff>
      <xdr:row>6</xdr:row>
      <xdr:rowOff>132583</xdr:rowOff>
    </xdr:to>
    <xdr:sp macro="" textlink="'Pivot Report'!A21">
      <xdr:nvSpPr>
        <xdr:cNvPr id="61" name="TextBox 60">
          <a:extLst>
            <a:ext uri="{FF2B5EF4-FFF2-40B4-BE49-F238E27FC236}">
              <a16:creationId xmlns:a16="http://schemas.microsoft.com/office/drawing/2014/main" id="{A75BDA7C-3518-E706-D220-1480D27612FD}"/>
            </a:ext>
          </a:extLst>
        </xdr:cNvPr>
        <xdr:cNvSpPr txBox="1"/>
      </xdr:nvSpPr>
      <xdr:spPr>
        <a:xfrm>
          <a:off x="6417189" y="970823"/>
          <a:ext cx="933768" cy="26534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1EA413-47E8-491A-8791-9ACC6445ACF9}" type="TxLink">
            <a:rPr lang="en-US" sz="1400" b="1" i="0" u="none" strike="noStrike">
              <a:solidFill>
                <a:srgbClr val="000000"/>
              </a:solidFill>
              <a:latin typeface="Calibri"/>
              <a:ea typeface="Calibri"/>
              <a:cs typeface="Calibri"/>
            </a:rPr>
            <a:pPr algn="ctr"/>
            <a:t>5.31</a:t>
          </a:fld>
          <a:endParaRPr lang="en-IN" sz="1400" b="1"/>
        </a:p>
      </xdr:txBody>
    </xdr:sp>
    <xdr:clientData/>
  </xdr:twoCellAnchor>
  <xdr:twoCellAnchor>
    <xdr:from>
      <xdr:col>10</xdr:col>
      <xdr:colOff>58453</xdr:colOff>
      <xdr:row>6</xdr:row>
      <xdr:rowOff>82229</xdr:rowOff>
    </xdr:from>
    <xdr:to>
      <xdr:col>12</xdr:col>
      <xdr:colOff>468945</xdr:colOff>
      <xdr:row>8</xdr:row>
      <xdr:rowOff>94007</xdr:rowOff>
    </xdr:to>
    <xdr:sp macro="" textlink="">
      <xdr:nvSpPr>
        <xdr:cNvPr id="62" name="TextBox 61">
          <a:extLst>
            <a:ext uri="{FF2B5EF4-FFF2-40B4-BE49-F238E27FC236}">
              <a16:creationId xmlns:a16="http://schemas.microsoft.com/office/drawing/2014/main" id="{1F79CC7E-D110-F5D7-4198-270F6F1ED3D7}"/>
            </a:ext>
          </a:extLst>
        </xdr:cNvPr>
        <xdr:cNvSpPr txBox="1"/>
      </xdr:nvSpPr>
      <xdr:spPr>
        <a:xfrm>
          <a:off x="6154453" y="1185815"/>
          <a:ext cx="1629692" cy="3796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baseline="0"/>
            <a:t>Patient Satisfaction Score</a:t>
          </a:r>
        </a:p>
        <a:p>
          <a:pPr algn="ctr"/>
          <a:endParaRPr lang="en-IN" sz="1400" baseline="0"/>
        </a:p>
        <a:p>
          <a:pPr algn="ctr"/>
          <a:endParaRPr lang="en-IN" sz="1400"/>
        </a:p>
      </xdr:txBody>
    </xdr:sp>
    <xdr:clientData/>
  </xdr:twoCellAnchor>
  <xdr:twoCellAnchor>
    <xdr:from>
      <xdr:col>9</xdr:col>
      <xdr:colOff>291123</xdr:colOff>
      <xdr:row>7</xdr:row>
      <xdr:rowOff>54634</xdr:rowOff>
    </xdr:from>
    <xdr:to>
      <xdr:col>10</xdr:col>
      <xdr:colOff>17252</xdr:colOff>
      <xdr:row>7</xdr:row>
      <xdr:rowOff>60314</xdr:rowOff>
    </xdr:to>
    <xdr:cxnSp macro="">
      <xdr:nvCxnSpPr>
        <xdr:cNvPr id="65" name="Straight Connector 64">
          <a:extLst>
            <a:ext uri="{FF2B5EF4-FFF2-40B4-BE49-F238E27FC236}">
              <a16:creationId xmlns:a16="http://schemas.microsoft.com/office/drawing/2014/main" id="{6323A682-2BEC-653A-2000-610411896A9F}"/>
            </a:ext>
          </a:extLst>
        </xdr:cNvPr>
        <xdr:cNvCxnSpPr/>
      </xdr:nvCxnSpPr>
      <xdr:spPr>
        <a:xfrm flipV="1">
          <a:off x="5777523" y="1342845"/>
          <a:ext cx="335729" cy="56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11502</xdr:colOff>
      <xdr:row>5</xdr:row>
      <xdr:rowOff>25879</xdr:rowOff>
    </xdr:from>
    <xdr:to>
      <xdr:col>10</xdr:col>
      <xdr:colOff>14917</xdr:colOff>
      <xdr:row>7</xdr:row>
      <xdr:rowOff>55246</xdr:rowOff>
    </xdr:to>
    <xdr:cxnSp macro="">
      <xdr:nvCxnSpPr>
        <xdr:cNvPr id="66" name="Straight Connector 65">
          <a:extLst>
            <a:ext uri="{FF2B5EF4-FFF2-40B4-BE49-F238E27FC236}">
              <a16:creationId xmlns:a16="http://schemas.microsoft.com/office/drawing/2014/main" id="{11D29D9D-19C7-23B1-15BA-74F0998A63B6}"/>
            </a:ext>
          </a:extLst>
        </xdr:cNvPr>
        <xdr:cNvCxnSpPr/>
      </xdr:nvCxnSpPr>
      <xdr:spPr>
        <a:xfrm>
          <a:off x="6107502" y="946030"/>
          <a:ext cx="3415" cy="39742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357512</xdr:colOff>
      <xdr:row>5</xdr:row>
      <xdr:rowOff>56030</xdr:rowOff>
    </xdr:from>
    <xdr:to>
      <xdr:col>10</xdr:col>
      <xdr:colOff>2212</xdr:colOff>
      <xdr:row>7</xdr:row>
      <xdr:rowOff>57152</xdr:rowOff>
    </xdr:to>
    <xdr:pic>
      <xdr:nvPicPr>
        <xdr:cNvPr id="68" name="Graphic 67" descr="List with solid fill">
          <a:extLst>
            <a:ext uri="{FF2B5EF4-FFF2-40B4-BE49-F238E27FC236}">
              <a16:creationId xmlns:a16="http://schemas.microsoft.com/office/drawing/2014/main" id="{651F7C9C-025E-827F-6701-31E6FDE171FB}"/>
            </a:ext>
          </a:extLst>
        </xdr:cNvPr>
        <xdr:cNvPicPr>
          <a:picLocks noChangeAspect="1"/>
        </xdr:cNvPicPr>
      </xdr:nvPicPr>
      <xdr:blipFill rotWithShape="1">
        <a:blip xmlns:r="http://schemas.openxmlformats.org/officeDocument/2006/relationships" r:embed="rId7">
          <a:extLst>
            <a:ext uri="{96DAC541-7B7A-43D3-8B79-37D633B846F1}">
              <asvg:svgBlip xmlns:asvg="http://schemas.microsoft.com/office/drawing/2016/SVG/main" r:embed="rId8"/>
            </a:ext>
          </a:extLst>
        </a:blip>
        <a:srcRect l="25952" t="1" r="12342" b="-1"/>
        <a:stretch>
          <a:fillRect/>
        </a:stretch>
      </xdr:blipFill>
      <xdr:spPr>
        <a:xfrm>
          <a:off x="5843912" y="965514"/>
          <a:ext cx="261920" cy="364915"/>
        </a:xfrm>
        <a:prstGeom prst="rect">
          <a:avLst/>
        </a:prstGeom>
      </xdr:spPr>
    </xdr:pic>
    <xdr:clientData/>
  </xdr:twoCellAnchor>
  <xdr:twoCellAnchor editAs="oneCell">
    <xdr:from>
      <xdr:col>0</xdr:col>
      <xdr:colOff>157330</xdr:colOff>
      <xdr:row>5</xdr:row>
      <xdr:rowOff>11202</xdr:rowOff>
    </xdr:from>
    <xdr:to>
      <xdr:col>2</xdr:col>
      <xdr:colOff>3130</xdr:colOff>
      <xdr:row>31</xdr:row>
      <xdr:rowOff>137555</xdr:rowOff>
    </xdr:to>
    <mc:AlternateContent xmlns:mc="http://schemas.openxmlformats.org/markup-compatibility/2006" xmlns:a14="http://schemas.microsoft.com/office/drawing/2010/main">
      <mc:Choice Requires="a14">
        <xdr:graphicFrame macro="">
          <xdr:nvGraphicFramePr>
            <xdr:cNvPr id="71" name="Date (Month)">
              <a:extLst>
                <a:ext uri="{FF2B5EF4-FFF2-40B4-BE49-F238E27FC236}">
                  <a16:creationId xmlns:a16="http://schemas.microsoft.com/office/drawing/2014/main" id="{46624A38-6F2A-48DF-99BA-8E6EE9464EA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7330" y="942535"/>
              <a:ext cx="1065000" cy="4969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265611</xdr:colOff>
      <xdr:row>6</xdr:row>
      <xdr:rowOff>134984</xdr:rowOff>
    </xdr:from>
    <xdr:to>
      <xdr:col>5</xdr:col>
      <xdr:colOff>539931</xdr:colOff>
      <xdr:row>11</xdr:row>
      <xdr:rowOff>21772</xdr:rowOff>
    </xdr:to>
    <xdr:graphicFrame macro="">
      <xdr:nvGraphicFramePr>
        <xdr:cNvPr id="73" name="Chart 72">
          <a:hlinkClick xmlns:r="http://schemas.openxmlformats.org/officeDocument/2006/relationships" r:id="rId2"/>
          <a:extLst>
            <a:ext uri="{FF2B5EF4-FFF2-40B4-BE49-F238E27FC236}">
              <a16:creationId xmlns:a16="http://schemas.microsoft.com/office/drawing/2014/main" id="{417481C7-CAA3-4CBE-9D62-ACEB36FD1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551793</xdr:colOff>
      <xdr:row>7</xdr:row>
      <xdr:rowOff>152400</xdr:rowOff>
    </xdr:from>
    <xdr:to>
      <xdr:col>9</xdr:col>
      <xdr:colOff>246993</xdr:colOff>
      <xdr:row>11</xdr:row>
      <xdr:rowOff>143035</xdr:rowOff>
    </xdr:to>
    <xdr:graphicFrame macro="">
      <xdr:nvGraphicFramePr>
        <xdr:cNvPr id="74" name="Chart 73">
          <a:hlinkClick xmlns:r="http://schemas.openxmlformats.org/officeDocument/2006/relationships" r:id="rId10"/>
          <a:extLst>
            <a:ext uri="{FF2B5EF4-FFF2-40B4-BE49-F238E27FC236}">
              <a16:creationId xmlns:a16="http://schemas.microsoft.com/office/drawing/2014/main" id="{42C821C2-2215-43C0-A5C3-E221E676D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346841</xdr:colOff>
      <xdr:row>6</xdr:row>
      <xdr:rowOff>115614</xdr:rowOff>
    </xdr:from>
    <xdr:to>
      <xdr:col>12</xdr:col>
      <xdr:colOff>583324</xdr:colOff>
      <xdr:row>11</xdr:row>
      <xdr:rowOff>26276</xdr:rowOff>
    </xdr:to>
    <xdr:graphicFrame macro="">
      <xdr:nvGraphicFramePr>
        <xdr:cNvPr id="75" name="Chart 74">
          <a:hlinkClick xmlns:r="http://schemas.openxmlformats.org/officeDocument/2006/relationships" r:id="rId12"/>
          <a:extLst>
            <a:ext uri="{FF2B5EF4-FFF2-40B4-BE49-F238E27FC236}">
              <a16:creationId xmlns:a16="http://schemas.microsoft.com/office/drawing/2014/main" id="{FF357576-8F14-478B-AC91-E9D335443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140555</xdr:colOff>
          <xdr:row>11</xdr:row>
          <xdr:rowOff>120576</xdr:rowOff>
        </xdr:from>
        <xdr:to>
          <xdr:col>12</xdr:col>
          <xdr:colOff>548193</xdr:colOff>
          <xdr:row>16</xdr:row>
          <xdr:rowOff>59616</xdr:rowOff>
        </xdr:to>
        <xdr:pic>
          <xdr:nvPicPr>
            <xdr:cNvPr id="55" name="Picture 54">
              <a:extLst>
                <a:ext uri="{FF2B5EF4-FFF2-40B4-BE49-F238E27FC236}">
                  <a16:creationId xmlns:a16="http://schemas.microsoft.com/office/drawing/2014/main" id="{17BF714A-0826-A472-B91B-0EDEC06E54F4}"/>
                </a:ext>
              </a:extLst>
            </xdr:cNvPr>
            <xdr:cNvPicPr>
              <a:picLocks noChangeAspect="1" noChangeArrowheads="1"/>
              <a:extLst>
                <a:ext uri="{84589F7E-364E-4C9E-8A38-B11213B215E9}">
                  <a14:cameraTool cellRange="'Pivot Report'!$A$56:$E$58" spid="_x0000_s1068"/>
                </a:ext>
              </a:extLst>
            </xdr:cNvPicPr>
          </xdr:nvPicPr>
          <xdr:blipFill>
            <a:blip xmlns:r="http://schemas.openxmlformats.org/officeDocument/2006/relationships" r:embed="rId14"/>
            <a:srcRect/>
            <a:stretch>
              <a:fillRect/>
            </a:stretch>
          </xdr:blipFill>
          <xdr:spPr bwMode="auto">
            <a:xfrm>
              <a:off x="1359755" y="2092811"/>
              <a:ext cx="6511258" cy="83551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163028</xdr:colOff>
      <xdr:row>16</xdr:row>
      <xdr:rowOff>138163</xdr:rowOff>
    </xdr:from>
    <xdr:to>
      <xdr:col>12</xdr:col>
      <xdr:colOff>519953</xdr:colOff>
      <xdr:row>31</xdr:row>
      <xdr:rowOff>170329</xdr:rowOff>
    </xdr:to>
    <xdr:graphicFrame macro="">
      <xdr:nvGraphicFramePr>
        <xdr:cNvPr id="56" name="Chart 55">
          <a:extLst>
            <a:ext uri="{FF2B5EF4-FFF2-40B4-BE49-F238E27FC236}">
              <a16:creationId xmlns:a16="http://schemas.microsoft.com/office/drawing/2014/main" id="{57238284-97AA-4018-B2D9-452C8BB31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53788</xdr:colOff>
      <xdr:row>0</xdr:row>
      <xdr:rowOff>44824</xdr:rowOff>
    </xdr:from>
    <xdr:to>
      <xdr:col>17</xdr:col>
      <xdr:colOff>528917</xdr:colOff>
      <xdr:row>11</xdr:row>
      <xdr:rowOff>80684</xdr:rowOff>
    </xdr:to>
    <xdr:graphicFrame macro="">
      <xdr:nvGraphicFramePr>
        <xdr:cNvPr id="57" name="Chart 56">
          <a:extLst>
            <a:ext uri="{FF2B5EF4-FFF2-40B4-BE49-F238E27FC236}">
              <a16:creationId xmlns:a16="http://schemas.microsoft.com/office/drawing/2014/main" id="{7F4910FB-869D-4DC0-A097-BD0C3747B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29122</xdr:colOff>
      <xdr:row>0</xdr:row>
      <xdr:rowOff>28901</xdr:rowOff>
    </xdr:from>
    <xdr:to>
      <xdr:col>22</xdr:col>
      <xdr:colOff>488467</xdr:colOff>
      <xdr:row>11</xdr:row>
      <xdr:rowOff>64398</xdr:rowOff>
    </xdr:to>
    <xdr:graphicFrame macro="">
      <xdr:nvGraphicFramePr>
        <xdr:cNvPr id="59" name="Chart 58">
          <a:extLst>
            <a:ext uri="{FF2B5EF4-FFF2-40B4-BE49-F238E27FC236}">
              <a16:creationId xmlns:a16="http://schemas.microsoft.com/office/drawing/2014/main" id="{3EE8A74D-16FA-41B5-A10D-110C25A7F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53218</xdr:colOff>
      <xdr:row>11</xdr:row>
      <xdr:rowOff>161791</xdr:rowOff>
    </xdr:from>
    <xdr:to>
      <xdr:col>22</xdr:col>
      <xdr:colOff>537882</xdr:colOff>
      <xdr:row>31</xdr:row>
      <xdr:rowOff>152399</xdr:rowOff>
    </xdr:to>
    <xdr:graphicFrame macro="">
      <xdr:nvGraphicFramePr>
        <xdr:cNvPr id="60" name="Chart 59">
          <a:extLst>
            <a:ext uri="{FF2B5EF4-FFF2-40B4-BE49-F238E27FC236}">
              <a16:creationId xmlns:a16="http://schemas.microsoft.com/office/drawing/2014/main" id="{A480D295-456F-4CEA-B021-19A26C78E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8</xdr:col>
      <xdr:colOff>331694</xdr:colOff>
      <xdr:row>0</xdr:row>
      <xdr:rowOff>107577</xdr:rowOff>
    </xdr:from>
    <xdr:to>
      <xdr:col>12</xdr:col>
      <xdr:colOff>485439</xdr:colOff>
      <xdr:row>4</xdr:row>
      <xdr:rowOff>80683</xdr:rowOff>
    </xdr:to>
    <mc:AlternateContent xmlns:mc="http://schemas.openxmlformats.org/markup-compatibility/2006" xmlns:a14="http://schemas.microsoft.com/office/drawing/2010/main">
      <mc:Choice Requires="a14">
        <xdr:graphicFrame macro="">
          <xdr:nvGraphicFramePr>
            <xdr:cNvPr id="67" name="Date (Year)">
              <a:extLst>
                <a:ext uri="{FF2B5EF4-FFF2-40B4-BE49-F238E27FC236}">
                  <a16:creationId xmlns:a16="http://schemas.microsoft.com/office/drawing/2014/main" id="{BA3E6ACA-820D-4D91-BCA9-7C60A4FBC06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208494" y="107577"/>
              <a:ext cx="2599765" cy="718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0.10565</cdr:x>
      <cdr:y>0.9021</cdr:y>
    </cdr:from>
    <cdr:to>
      <cdr:x>0.81081</cdr:x>
      <cdr:y>0.96853</cdr:y>
    </cdr:to>
    <cdr:sp macro="" textlink="">
      <cdr:nvSpPr>
        <cdr:cNvPr id="2" name="TextBox 1">
          <a:extLst xmlns:a="http://schemas.openxmlformats.org/drawingml/2006/main">
            <a:ext uri="{FF2B5EF4-FFF2-40B4-BE49-F238E27FC236}">
              <a16:creationId xmlns:a16="http://schemas.microsoft.com/office/drawing/2014/main" id="{873A6922-4184-E25E-3E34-EC063C14C023}"/>
            </a:ext>
          </a:extLst>
        </cdr:cNvPr>
        <cdr:cNvSpPr txBox="1"/>
      </cdr:nvSpPr>
      <cdr:spPr>
        <a:xfrm xmlns:a="http://schemas.openxmlformats.org/drawingml/2006/main">
          <a:off x="655320" y="1965960"/>
          <a:ext cx="4373880" cy="1447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0.33615</cdr:x>
      <cdr:y>0.87413</cdr:y>
    </cdr:from>
    <cdr:to>
      <cdr:x>0.60303</cdr:x>
      <cdr:y>1</cdr:y>
    </cdr:to>
    <cdr:sp macro="" textlink="">
      <cdr:nvSpPr>
        <cdr:cNvPr id="3" name="TextBox 2">
          <a:extLst xmlns:a="http://schemas.openxmlformats.org/drawingml/2006/main">
            <a:ext uri="{FF2B5EF4-FFF2-40B4-BE49-F238E27FC236}">
              <a16:creationId xmlns:a16="http://schemas.microsoft.com/office/drawing/2014/main" id="{19963520-D5B6-3767-6460-A6E3E1299793}"/>
            </a:ext>
          </a:extLst>
        </cdr:cNvPr>
        <cdr:cNvSpPr txBox="1"/>
      </cdr:nvSpPr>
      <cdr:spPr>
        <a:xfrm xmlns:a="http://schemas.openxmlformats.org/drawingml/2006/main">
          <a:off x="2085022" y="1885018"/>
          <a:ext cx="1655393" cy="2714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bg1"/>
              </a:solidFill>
            </a:rPr>
            <a:t>Age Group</a:t>
          </a:r>
          <a:r>
            <a:rPr lang="en-IN" sz="1100" b="1" kern="1200" baseline="0">
              <a:solidFill>
                <a:schemeClr val="bg1"/>
              </a:solidFill>
            </a:rPr>
            <a:t> Wise Analysis</a:t>
          </a:r>
          <a:endParaRPr lang="en-IN" sz="1100" b="1"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0.07962</cdr:x>
      <cdr:y>0.77454</cdr:y>
    </cdr:from>
    <cdr:to>
      <cdr:x>0.93452</cdr:x>
      <cdr:y>0.95784</cdr:y>
    </cdr:to>
    <cdr:sp macro="" textlink="">
      <cdr:nvSpPr>
        <cdr:cNvPr id="2" name="TextBox 1">
          <a:extLst xmlns:a="http://schemas.openxmlformats.org/drawingml/2006/main">
            <a:ext uri="{FF2B5EF4-FFF2-40B4-BE49-F238E27FC236}">
              <a16:creationId xmlns:a16="http://schemas.microsoft.com/office/drawing/2014/main" id="{7AE4FF36-6918-EB14-BFD8-B21B27C173B3}"/>
            </a:ext>
          </a:extLst>
        </cdr:cNvPr>
        <cdr:cNvSpPr txBox="1"/>
      </cdr:nvSpPr>
      <cdr:spPr>
        <a:xfrm xmlns:a="http://schemas.openxmlformats.org/drawingml/2006/main">
          <a:off x="231962" y="1569666"/>
          <a:ext cx="2490788" cy="3714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0.06</cdr:x>
      <cdr:y>0.80979</cdr:y>
    </cdr:from>
    <cdr:to>
      <cdr:x>0.88786</cdr:x>
      <cdr:y>0.95044</cdr:y>
    </cdr:to>
    <cdr:sp macro="" textlink="">
      <cdr:nvSpPr>
        <cdr:cNvPr id="3" name="TextBox 2">
          <a:extLst xmlns:a="http://schemas.openxmlformats.org/drawingml/2006/main">
            <a:ext uri="{FF2B5EF4-FFF2-40B4-BE49-F238E27FC236}">
              <a16:creationId xmlns:a16="http://schemas.microsoft.com/office/drawing/2014/main" id="{3FA5FFCA-0E9E-7A03-876D-BD385DAB037B}"/>
            </a:ext>
          </a:extLst>
        </cdr:cNvPr>
        <cdr:cNvSpPr txBox="1"/>
      </cdr:nvSpPr>
      <cdr:spPr>
        <a:xfrm xmlns:a="http://schemas.openxmlformats.org/drawingml/2006/main">
          <a:off x="174812" y="1658071"/>
          <a:ext cx="2412000" cy="288000"/>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n-IN" sz="1100" b="1" kern="1200">
              <a:solidFill>
                <a:schemeClr val="bg1"/>
              </a:solidFill>
            </a:rPr>
            <a:t>Percentage Of</a:t>
          </a:r>
          <a:r>
            <a:rPr lang="en-IN" sz="1100" b="1" kern="1200" baseline="0">
              <a:solidFill>
                <a:schemeClr val="bg1"/>
              </a:solidFill>
            </a:rPr>
            <a:t> Patients Within 30 Minutes</a:t>
          </a:r>
          <a:endParaRPr lang="en-IN" sz="1100" b="1" kern="1200">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0.18553</cdr:x>
      <cdr:y>0.79899</cdr:y>
    </cdr:from>
    <cdr:to>
      <cdr:x>0.85608</cdr:x>
      <cdr:y>0.93766</cdr:y>
    </cdr:to>
    <cdr:sp macro="" textlink="">
      <cdr:nvSpPr>
        <cdr:cNvPr id="2" name="TextBox 1">
          <a:extLst xmlns:a="http://schemas.openxmlformats.org/drawingml/2006/main">
            <a:ext uri="{FF2B5EF4-FFF2-40B4-BE49-F238E27FC236}">
              <a16:creationId xmlns:a16="http://schemas.microsoft.com/office/drawing/2014/main" id="{A3FCA662-6A0B-A413-99B8-9E22ADC0F6AF}"/>
            </a:ext>
          </a:extLst>
        </cdr:cNvPr>
        <cdr:cNvSpPr txBox="1"/>
      </cdr:nvSpPr>
      <cdr:spPr>
        <a:xfrm xmlns:a="http://schemas.openxmlformats.org/drawingml/2006/main">
          <a:off x="537615" y="1618925"/>
          <a:ext cx="1943100" cy="2809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baseline="0">
              <a:solidFill>
                <a:schemeClr val="bg1"/>
              </a:solidFill>
            </a:rPr>
            <a:t>Gender wise Analysis</a:t>
          </a:r>
        </a:p>
      </cdr:txBody>
    </cdr:sp>
  </cdr:relSizeAnchor>
</c:userShapes>
</file>

<file path=xl/drawings/drawing6.xml><?xml version="1.0" encoding="utf-8"?>
<c:userShapes xmlns:c="http://schemas.openxmlformats.org/drawingml/2006/chart">
  <cdr:relSizeAnchor xmlns:cdr="http://schemas.openxmlformats.org/drawingml/2006/chartDrawing">
    <cdr:from>
      <cdr:x>0.30158</cdr:x>
      <cdr:y>0.86345</cdr:y>
    </cdr:from>
    <cdr:to>
      <cdr:x>0.98002</cdr:x>
      <cdr:y>0.94193</cdr:y>
    </cdr:to>
    <cdr:sp macro="" textlink="">
      <cdr:nvSpPr>
        <cdr:cNvPr id="2" name="TextBox 1">
          <a:extLst xmlns:a="http://schemas.openxmlformats.org/drawingml/2006/main">
            <a:ext uri="{FF2B5EF4-FFF2-40B4-BE49-F238E27FC236}">
              <a16:creationId xmlns:a16="http://schemas.microsoft.com/office/drawing/2014/main" id="{668CDE95-B66D-9C04-62B8-D0DC2FB60EF2}"/>
            </a:ext>
          </a:extLst>
        </cdr:cNvPr>
        <cdr:cNvSpPr txBox="1"/>
      </cdr:nvSpPr>
      <cdr:spPr>
        <a:xfrm xmlns:a="http://schemas.openxmlformats.org/drawingml/2006/main">
          <a:off x="1789165" y="2715586"/>
          <a:ext cx="4025017" cy="2468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bg1"/>
              </a:solidFill>
            </a:rPr>
            <a:t>No. of  Patient Department Referral</a:t>
          </a:r>
          <a:r>
            <a:rPr lang="en-IN" sz="1100" kern="1200">
              <a:solidFill>
                <a:schemeClr val="bg1"/>
              </a:solidFill>
            </a:rPr>
            <a:t>s</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114300</xdr:colOff>
      <xdr:row>0</xdr:row>
      <xdr:rowOff>144780</xdr:rowOff>
    </xdr:from>
    <xdr:to>
      <xdr:col>19</xdr:col>
      <xdr:colOff>571500</xdr:colOff>
      <xdr:row>15</xdr:row>
      <xdr:rowOff>0</xdr:rowOff>
    </xdr:to>
    <xdr:graphicFrame macro="">
      <xdr:nvGraphicFramePr>
        <xdr:cNvPr id="2" name="Chart 1">
          <a:extLst>
            <a:ext uri="{FF2B5EF4-FFF2-40B4-BE49-F238E27FC236}">
              <a16:creationId xmlns:a16="http://schemas.microsoft.com/office/drawing/2014/main" id="{57C87AC8-20EC-493C-A031-9B2DE6436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15</xdr:row>
      <xdr:rowOff>106680</xdr:rowOff>
    </xdr:from>
    <xdr:to>
      <xdr:col>17</xdr:col>
      <xdr:colOff>266700</xdr:colOff>
      <xdr:row>18</xdr:row>
      <xdr:rowOff>60960</xdr:rowOff>
    </xdr:to>
    <xdr:sp macro="" textlink="">
      <xdr:nvSpPr>
        <xdr:cNvPr id="4" name="TextBox 3">
          <a:extLst>
            <a:ext uri="{FF2B5EF4-FFF2-40B4-BE49-F238E27FC236}">
              <a16:creationId xmlns:a16="http://schemas.microsoft.com/office/drawing/2014/main" id="{66DAD2B1-2FB6-084D-4955-A445CF4A2713}"/>
            </a:ext>
          </a:extLst>
        </xdr:cNvPr>
        <xdr:cNvSpPr txBox="1"/>
      </xdr:nvSpPr>
      <xdr:spPr>
        <a:xfrm>
          <a:off x="1226820" y="2849880"/>
          <a:ext cx="9403080" cy="50292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Showing a Daily</a:t>
          </a:r>
          <a:r>
            <a:rPr lang="en-IN" sz="1800" baseline="0"/>
            <a:t> Trend with an area sparkline to spot patterns like busy days or seasonal Trends</a:t>
          </a:r>
          <a:endParaRPr lang="en-IN" sz="18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0.00443</cdr:x>
      <cdr:y>0</cdr:y>
    </cdr:from>
    <cdr:to>
      <cdr:x>0.06646</cdr:x>
      <cdr:y>0.28739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98C1857-B8EA-8AFA-3CAE-47D417B05C6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3340" y="0"/>
          <a:ext cx="746760" cy="74676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137160</xdr:colOff>
      <xdr:row>0</xdr:row>
      <xdr:rowOff>129540</xdr:rowOff>
    </xdr:from>
    <xdr:to>
      <xdr:col>19</xdr:col>
      <xdr:colOff>571500</xdr:colOff>
      <xdr:row>18</xdr:row>
      <xdr:rowOff>137160</xdr:rowOff>
    </xdr:to>
    <xdr:graphicFrame macro="">
      <xdr:nvGraphicFramePr>
        <xdr:cNvPr id="2" name="Chart 1">
          <a:extLst>
            <a:ext uri="{FF2B5EF4-FFF2-40B4-BE49-F238E27FC236}">
              <a16:creationId xmlns:a16="http://schemas.microsoft.com/office/drawing/2014/main" id="{7FE04DE8-DCA8-4D0C-8F40-591A7BB45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502920</xdr:colOff>
      <xdr:row>19</xdr:row>
      <xdr:rowOff>30480</xdr:rowOff>
    </xdr:from>
    <xdr:to>
      <xdr:col>18</xdr:col>
      <xdr:colOff>259080</xdr:colOff>
      <xdr:row>20</xdr:row>
      <xdr:rowOff>144780</xdr:rowOff>
    </xdr:to>
    <xdr:sp macro="" textlink="">
      <xdr:nvSpPr>
        <xdr:cNvPr id="3" name="TextBox 2">
          <a:extLst>
            <a:ext uri="{FF2B5EF4-FFF2-40B4-BE49-F238E27FC236}">
              <a16:creationId xmlns:a16="http://schemas.microsoft.com/office/drawing/2014/main" id="{8F65989B-4343-51D5-F862-46817F8E710E}"/>
            </a:ext>
          </a:extLst>
        </xdr:cNvPr>
        <xdr:cNvSpPr txBox="1"/>
      </xdr:nvSpPr>
      <xdr:spPr>
        <a:xfrm>
          <a:off x="1112520" y="3505200"/>
          <a:ext cx="10119360" cy="2971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Use an Area Chart to track daily changes and highlight Days with longer wait times that might need improvements</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cdr:x>
      <cdr:y>0</cdr:y>
    </cdr:from>
    <cdr:to>
      <cdr:x>0.05073</cdr:x>
      <cdr:y>0.18476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ED0DDF7-4A99-6B4D-E0E7-FF2A50DDC1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9600" cy="609600"/>
        </a:xfrm>
        <a:prstGeom xmlns:a="http://schemas.openxmlformats.org/drawingml/2006/main" prst="rect">
          <a:avLst/>
        </a:prstGeom>
      </cdr:spPr>
    </cdr:pic>
  </cdr:relSizeAnchor>
</c:userShapes>
</file>

<file path=xl/drawings/drawing11.xml><?xml version="1.0" encoding="utf-8"?>
<xdr:wsDr xmlns:xdr="http://schemas.openxmlformats.org/drawingml/2006/spreadsheetDrawing" xmlns:a="http://schemas.openxmlformats.org/drawingml/2006/main">
  <xdr:twoCellAnchor>
    <xdr:from>
      <xdr:col>0</xdr:col>
      <xdr:colOff>572030</xdr:colOff>
      <xdr:row>0</xdr:row>
      <xdr:rowOff>151747</xdr:rowOff>
    </xdr:from>
    <xdr:to>
      <xdr:col>25</xdr:col>
      <xdr:colOff>143435</xdr:colOff>
      <xdr:row>29</xdr:row>
      <xdr:rowOff>8965</xdr:rowOff>
    </xdr:to>
    <xdr:graphicFrame macro="">
      <xdr:nvGraphicFramePr>
        <xdr:cNvPr id="2" name="Chart 1">
          <a:extLst>
            <a:ext uri="{FF2B5EF4-FFF2-40B4-BE49-F238E27FC236}">
              <a16:creationId xmlns:a16="http://schemas.microsoft.com/office/drawing/2014/main" id="{8BA9AED5-BA45-4764-86FA-BC14C0CB4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cdr:x>
      <cdr:y>0</cdr:y>
    </cdr:from>
    <cdr:to>
      <cdr:x>0.04803</cdr:x>
      <cdr:y>0.1234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638696A-8C30-331E-AFCE-EB4083BF52A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871288" cy="70528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1296295" createdVersion="5" refreshedVersion="8" minRefreshableVersion="3" recordCount="0" supportSubquery="1" supportAdvancedDrill="1" xr:uid="{4A17D54A-5A41-43B7-91B4-6BB4871B629C}">
  <cacheSource type="external" connectionId="4"/>
  <cacheFields count="4">
    <cacheField name="[Measures].[Count of Patient Id]" caption="Count of Patient Id" numFmtId="0" hierarchy="23" level="32767"/>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1643519" createdVersion="5" refreshedVersion="8" minRefreshableVersion="3" recordCount="0" supportSubquery="1" supportAdvancedDrill="1" xr:uid="{5AE2BFED-7865-4319-A452-5B84A537C1F5}">
  <cacheSource type="external" connectionId="4"/>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1990742" createdVersion="5" refreshedVersion="8" minRefreshableVersion="3" recordCount="0" supportSubquery="1" supportAdvancedDrill="1" xr:uid="{4FA3559D-89B5-41B4-A863-49D560EF75EF}">
  <cacheSource type="external" connectionId="4"/>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2337965" createdVersion="5" refreshedVersion="8" minRefreshableVersion="3" recordCount="0" supportSubquery="1" supportAdvancedDrill="1" xr:uid="{AE8C4196-AA26-490C-A52F-6F1111275A26}">
  <cacheSource type="external" connectionId="4"/>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3032404" createdVersion="5" refreshedVersion="8" minRefreshableVersion="3" recordCount="0" supportSubquery="1" supportAdvancedDrill="1" xr:uid="{F37BB068-D384-4320-88FF-AF6F65BD44D2}">
  <cacheSource type="external" connectionId="4"/>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3726851" createdVersion="5" refreshedVersion="8" minRefreshableVersion="3" recordCount="0" supportSubquery="1" supportAdvancedDrill="1" xr:uid="{D6A3C511-EEB3-4C7F-9C6A-968B8F7FF92C}">
  <cacheSource type="external" connectionId="4"/>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4189813" createdVersion="5" refreshedVersion="8" minRefreshableVersion="3" recordCount="0" supportSubquery="1" supportAdvancedDrill="1" xr:uid="{49777D4F-2604-4361-BF1E-02EC7BCFBAD7}">
  <cacheSource type="external" connectionId="4"/>
  <cacheFields count="5">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8" level="32767">
      <extLst>
        <ext xmlns:x14="http://schemas.microsoft.com/office/spreadsheetml/2009/9/main" uri="{63CAB8AC-B538-458d-9737-405883B0398D}">
          <x14:cacheField ignore="1"/>
        </ext>
      </extLst>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4305559" createdVersion="5" refreshedVersion="8" minRefreshableVersion="3" recordCount="0" supportSubquery="1" supportAdvancedDrill="1" xr:uid="{FC418A05-BDD2-4274-9BE2-C496E0DAC782}">
  <cacheSource type="external" connectionId="4"/>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4768521" createdVersion="5" refreshedVersion="8" minRefreshableVersion="3" recordCount="0" supportSubquery="1" supportAdvancedDrill="1" xr:uid="{829A2C17-B8DE-446E-85A2-96FF5E03E00D}">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5115744" createdVersion="5" refreshedVersion="8" minRefreshableVersion="3" recordCount="0" supportSubquery="1" supportAdvancedDrill="1" xr:uid="{C85D7939-3E46-4CB9-8E4E-1F405B5AF0A6}">
  <cacheSource type="external" connectionId="4"/>
  <cacheFields count="4">
    <cacheField name="[Calendar_Table].[Date (Month)].[Date (Month)]" caption="Date (Month)" numFmtId="0" hierarchy="1" level="1">
      <sharedItems containsSemiMixedTypes="0" containsNonDate="0" containsString="0"/>
    </cacheField>
    <cacheField name="[Measures].[Count of Patient attend Sales]" caption="Count of Patient attend Sales" numFmtId="0" hierarchy="34" level="32767"/>
    <cacheField name="[Hospital Emergency Room Data].[Patient attend Sales].[Patient attend Sales]" caption="Patient attend Sale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5578706" createdVersion="5" refreshedVersion="8" minRefreshableVersion="3" recordCount="0" supportSubquery="1" supportAdvancedDrill="1" xr:uid="{0DD1947F-409A-4F4B-8107-65B8B849E76D}">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6"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5925929" createdVersion="5" refreshedVersion="8" minRefreshableVersion="3" recordCount="0" supportSubquery="1" supportAdvancedDrill="1" xr:uid="{B229E002-947F-4887-B2CF-AE00F02532D4}">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7"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90826273145" createdVersion="5" refreshedVersion="8" minRefreshableVersion="3" recordCount="0" supportSubquery="1" supportAdvancedDrill="1" xr:uid="{2D08B8BB-974D-46A3-9224-9EA858AB2B8A}">
  <cacheSource type="external" connectionId="4"/>
  <cacheFields count="3">
    <cacheField name="[Calendar_Table].[Date (Month)].[Date (Month)]" caption="Date (Month)" numFmtId="0" hierarchy="1" level="1">
      <sharedItems count="1">
        <s v="Apr"/>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8">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594811111114" createdVersion="3" refreshedVersion="8" minRefreshableVersion="3" recordCount="0" supportSubquery="1" supportAdvancedDrill="1" xr:uid="{12D9D9D6-56C1-49A6-8DF2-3B2106B493D2}">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3497268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rava Devkar" refreshedDate="46069.60979988426" createdVersion="3" refreshedVersion="8" minRefreshableVersion="3" recordCount="0" supportSubquery="1" supportAdvancedDrill="1" xr:uid="{A1BFDB96-B447-41F6-B3C8-55A2F56280E4}">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ales]" caption="Patient attend Sales" attribute="1" defaultMemberUniqueName="[Hospital Emergency Room Data].[Patient attend Sales].[All]" allUniqueName="[Hospital Emergency Room Data].[Patient attend Sale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ales]" caption="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ales]" caption="Distinct Count of Patient attend Sal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1922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ABF268-2441-4F66-84E8-D657C8F5E8BD}" name="PivotTable4" cacheId="0" applyNumberFormats="0" applyBorderFormats="0" applyFontFormats="0" applyPatternFormats="0" applyAlignmentFormats="0" applyWidthHeightFormats="1" dataCaption="Values" tag="6e3abcab-3f2b-4739-bdb2-36d9aff68458" updatedVersion="8" minRefreshableVersion="3" useAutoFormatting="1" subtotalHiddenItems="1" itemPrintTitles="1" createdVersion="5" indent="0" outline="1" outlineData="1" multipleFieldFilters="0" chartFormat="19">
  <location ref="E6:F37"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Number of Patient Id" fld="0" subtotal="count" baseField="0" baseItem="0"/>
  </dataFields>
  <chartFormats count="2">
    <chartFormat chart="13" format="4"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6DA5B0-97B6-41F9-9244-8E1BDA8EBE23}" name="PivotTable15" cacheId="10" applyNumberFormats="0" applyBorderFormats="0" applyFontFormats="0" applyPatternFormats="0" applyAlignmentFormats="0" applyWidthHeightFormats="1" dataCaption="Values" tag="9e09bd4e-93c5-4bdc-bfc5-38914c67b2b6" updatedVersion="8" minRefreshableVersion="3" itemPrintTitles="1" createdVersion="5" indent="0" outline="1" outlineData="1" multipleFieldFilters="0" chartFormat="12">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0">
      <pivotArea outline="0" collapsedLevelsAreSubtotals="1" fieldPosition="0"/>
    </format>
  </format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54B536-EBAF-4EFD-A8E8-6C6D9E7F37BA}" name="PivotTable10" cacheId="7" applyNumberFormats="0" applyBorderFormats="0" applyFontFormats="0" applyPatternFormats="0" applyAlignmentFormats="0" applyWidthHeightFormats="1" dataCaption="Values" tag="9e09bd4e-93c5-4bdc-bfc5-38914c67b2b6" updatedVersion="8" minRefreshableVersion="3" itemPrintTitles="1" createdVersion="5" indent="0" outline="1" outlineData="1" multipleFieldFilters="0">
  <location ref="A65:A6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
      <pivotArea outline="0" collapsedLevelsAreSubtotals="1" fieldPosition="0"/>
    </format>
  </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39105-F448-4457-8705-738E58CD6918}" name="PivotTable3" cacheId="3" applyNumberFormats="0" applyBorderFormats="0" applyFontFormats="0" applyPatternFormats="0" applyAlignmentFormats="0" applyWidthHeightFormats="1" dataCaption="Values" tag="9e09bd4e-93c5-4bdc-bfc5-38914c67b2b6" updatedVersion="8" minRefreshableVersion="3" useAutoFormatting="1" itemPrintTitles="1" createdVersion="5" indent="0" outline="1" outlineData="1" multipleFieldFilters="0">
  <location ref="A20:A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
      <pivotArea outline="0" collapsedLevelsAreSubtotals="1" fieldPosition="0"/>
    </format>
  </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FADF52-A41F-4375-A915-883CC3DDD552}" name="PivotTable18" cacheId="12" applyNumberFormats="0" applyBorderFormats="0" applyFontFormats="0" applyPatternFormats="0" applyAlignmentFormats="0" applyWidthHeightFormats="1" dataCaption="Values" tag="9e09bd4e-93c5-4bdc-bfc5-38914c67b2b6" updatedVersion="8" minRefreshableVersion="3" itemPrintTitles="1" createdVersion="5" indent="0" outline="1" outlineData="1" multipleFieldFilters="0" chartFormat="26">
  <location ref="F105:F107" firstHeaderRow="1" firstDataRow="1" firstDataCol="1"/>
  <pivotFields count="3">
    <pivotField axis="axisRow" allDrilled="1" subtotalTop="0" showAll="0" dataSourceSort="1" defaultSubtotal="0">
      <items count="1">
        <item x="0" e="0"/>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3">
    <field x="2"/>
    <field x="1"/>
    <field x="0"/>
  </rowFields>
  <rowItems count="2">
    <i>
      <x/>
    </i>
    <i t="grand">
      <x/>
    </i>
  </rowItems>
  <formats count="1">
    <format dxfId="3">
      <pivotArea outline="0" collapsedLevelsAreSubtotals="1" fieldPosition="0"/>
    </format>
  </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D72A41-B4C9-4DA4-84D5-F54394497EFD}" name="PivotTable12" cacheId="9" applyNumberFormats="0" applyBorderFormats="0" applyFontFormats="0" applyPatternFormats="0" applyAlignmentFormats="0" applyWidthHeightFormats="1" dataCaption="Values" tag="9e09bd4e-93c5-4bdc-bfc5-38914c67b2b6" updatedVersion="8" minRefreshableVersion="3" itemPrintTitles="1" createdVersion="5" indent="0" outline="1" outlineData="1" multipleFieldFilters="0" chartFormat="13">
  <location ref="J73:K7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ales" fld="1" subtotal="count" baseField="0" baseItem="0"/>
  </dataFields>
  <formats count="2">
    <format dxfId="5">
      <pivotArea outline="0" collapsedLevelsAreSubtotals="1" fieldPosition="0"/>
    </format>
    <format dxfId="4">
      <pivotArea collapsedLevelsAreSubtotals="1" fieldPosition="0">
        <references count="1">
          <reference field="2" count="0"/>
        </references>
      </pivotArea>
    </format>
  </formats>
  <chartFormats count="3">
    <chartFormat chart="11" format="4"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 count="1" selected="0">
            <x v="1"/>
          </reference>
        </references>
      </pivotArea>
    </chartFormat>
    <chartFormat chart="11" format="8">
      <pivotArea type="data" outline="0" fieldPosition="0">
        <references count="2">
          <reference field="4294967294" count="1" selected="0">
            <x v="0"/>
          </reference>
          <reference field="2" count="1" selected="0">
            <x v="0"/>
          </reference>
        </references>
      </pivotArea>
    </chartFormat>
  </chart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215E89-F7D9-418F-AFD2-4FE06D2FBC74}" name="PivotTable5" cacheId="4" applyNumberFormats="0" applyBorderFormats="0" applyFontFormats="0" applyPatternFormats="0" applyAlignmentFormats="0" applyWidthHeightFormats="1" dataCaption="Values" tag="6e3abcab-3f2b-4739-bdb2-36d9aff68458" updatedVersion="8" minRefreshableVersion="3" useAutoFormatting="1" subtotalHiddenItems="1" itemPrintTitles="1" createdVersion="5" indent="0" outline="1" outlineData="1" multipleFieldFilters="0" chartFormat="29">
  <location ref="I6:J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6">
      <pivotArea collapsedLevelsAreSubtotals="1" fieldPosition="0">
        <references count="1">
          <reference field="0" count="0"/>
        </references>
      </pivotArea>
    </format>
  </formats>
  <chartFormats count="2">
    <chartFormat chart="20"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04BE27-158C-423B-BB75-85B82E5A733D}" name="PivotTable2" cacheId="2" applyNumberFormats="0" applyBorderFormats="0" applyFontFormats="0" applyPatternFormats="0" applyAlignmentFormats="0" applyWidthHeightFormats="1" dataCaption="Values" tag="85a55a4b-9c5e-4826-b546-e109fbc5e976" updatedVersion="8" minRefreshableVersion="3" useAutoFormatting="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92B628-1579-4B7B-8D9C-728D4D32D84A}" name="PivotTable16" cacheId="11" applyNumberFormats="0" applyBorderFormats="0" applyFontFormats="0" applyPatternFormats="0" applyAlignmentFormats="0" applyWidthHeightFormats="1" dataCaption="Values" tag="9e09bd4e-93c5-4bdc-bfc5-38914c67b2b6" updatedVersion="8" minRefreshableVersion="3" itemPrintTitles="1" createdVersion="5" indent="0" outline="1" outlineData="1" multipleFieldFilters="0" chartFormat="26">
  <location ref="A90:B99"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v="3"/>
    </i>
    <i>
      <x/>
    </i>
    <i>
      <x v="1"/>
    </i>
    <i>
      <x v="7"/>
    </i>
    <i t="grand">
      <x/>
    </i>
  </rowItems>
  <colItems count="1">
    <i/>
  </colItems>
  <dataFields count="1">
    <dataField name="Count of Department Referral"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9">
    <chartFormat chart="25" format="25" series="1">
      <pivotArea type="data" outline="0" fieldPosition="0">
        <references count="1">
          <reference field="4294967294" count="1" selected="0">
            <x v="0"/>
          </reference>
        </references>
      </pivotArea>
    </chartFormat>
    <chartFormat chart="25" format="26">
      <pivotArea type="data" outline="0" fieldPosition="0">
        <references count="2">
          <reference field="4294967294" count="1" selected="0">
            <x v="0"/>
          </reference>
          <reference field="1" count="1" selected="0">
            <x v="4"/>
          </reference>
        </references>
      </pivotArea>
    </chartFormat>
    <chartFormat chart="25" format="27">
      <pivotArea type="data" outline="0" fieldPosition="0">
        <references count="2">
          <reference field="4294967294" count="1" selected="0">
            <x v="0"/>
          </reference>
          <reference field="1" count="1" selected="0">
            <x v="2"/>
          </reference>
        </references>
      </pivotArea>
    </chartFormat>
    <chartFormat chart="25" format="28">
      <pivotArea type="data" outline="0" fieldPosition="0">
        <references count="2">
          <reference field="4294967294" count="1" selected="0">
            <x v="0"/>
          </reference>
          <reference field="1" count="1" selected="0">
            <x v="5"/>
          </reference>
        </references>
      </pivotArea>
    </chartFormat>
    <chartFormat chart="25" format="29">
      <pivotArea type="data" outline="0" fieldPosition="0">
        <references count="2">
          <reference field="4294967294" count="1" selected="0">
            <x v="0"/>
          </reference>
          <reference field="1" count="1" selected="0">
            <x v="6"/>
          </reference>
        </references>
      </pivotArea>
    </chartFormat>
    <chartFormat chart="25" format="30">
      <pivotArea type="data" outline="0" fieldPosition="0">
        <references count="2">
          <reference field="4294967294" count="1" selected="0">
            <x v="0"/>
          </reference>
          <reference field="1" count="1" selected="0">
            <x v="0"/>
          </reference>
        </references>
      </pivotArea>
    </chartFormat>
    <chartFormat chart="25" format="31">
      <pivotArea type="data" outline="0" fieldPosition="0">
        <references count="2">
          <reference field="4294967294" count="1" selected="0">
            <x v="0"/>
          </reference>
          <reference field="1" count="1" selected="0">
            <x v="3"/>
          </reference>
        </references>
      </pivotArea>
    </chartFormat>
    <chartFormat chart="25" format="32">
      <pivotArea type="data" outline="0" fieldPosition="0">
        <references count="2">
          <reference field="4294967294" count="1" selected="0">
            <x v="0"/>
          </reference>
          <reference field="1" count="1" selected="0">
            <x v="7"/>
          </reference>
        </references>
      </pivotArea>
    </chartFormat>
    <chartFormat chart="25" format="33">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8ADC57-F762-48A8-9855-FE08AB0425F0}" name="PivotTable11" cacheId="8" applyNumberFormats="0" applyBorderFormats="0" applyFontFormats="0" applyPatternFormats="0" applyAlignmentFormats="0" applyWidthHeightFormats="1" dataCaption="Values" tag="9e09bd4e-93c5-4bdc-bfc5-38914c67b2b6" updatedVersion="8" minRefreshableVersion="3" itemPrintTitles="1" createdVersion="5" indent="0" outline="1" outlineData="1" multipleFieldFilters="0" chartFormat="6">
  <location ref="J57:K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0">
      <pivotArea outline="0" collapsedLevelsAreSubtotals="1" fieldPosition="0"/>
    </format>
  </formats>
  <chartFormats count="9">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1" count="1" selected="0">
            <x v="0"/>
          </reference>
        </references>
      </pivotArea>
    </chartFormat>
    <chartFormat chart="5" format="20">
      <pivotArea type="data" outline="0" fieldPosition="0">
        <references count="2">
          <reference field="4294967294" count="1" selected="0">
            <x v="0"/>
          </reference>
          <reference field="1" count="1" selected="0">
            <x v="1"/>
          </reference>
        </references>
      </pivotArea>
    </chartFormat>
    <chartFormat chart="5" format="21">
      <pivotArea type="data" outline="0" fieldPosition="0">
        <references count="2">
          <reference field="4294967294" count="1" selected="0">
            <x v="0"/>
          </reference>
          <reference field="1" count="1" selected="0">
            <x v="2"/>
          </reference>
        </references>
      </pivotArea>
    </chartFormat>
    <chartFormat chart="5" format="22">
      <pivotArea type="data" outline="0" fieldPosition="0">
        <references count="2">
          <reference field="4294967294" count="1" selected="0">
            <x v="0"/>
          </reference>
          <reference field="1" count="1" selected="0">
            <x v="3"/>
          </reference>
        </references>
      </pivotArea>
    </chartFormat>
    <chartFormat chart="5" format="23">
      <pivotArea type="data" outline="0" fieldPosition="0">
        <references count="2">
          <reference field="4294967294" count="1" selected="0">
            <x v="0"/>
          </reference>
          <reference field="1" count="1" selected="0">
            <x v="4"/>
          </reference>
        </references>
      </pivotArea>
    </chartFormat>
    <chartFormat chart="5" format="24">
      <pivotArea type="data" outline="0" fieldPosition="0">
        <references count="2">
          <reference field="4294967294" count="1" selected="0">
            <x v="0"/>
          </reference>
          <reference field="1" count="1" selected="0">
            <x v="5"/>
          </reference>
        </references>
      </pivotArea>
    </chartFormat>
    <chartFormat chart="5" format="25">
      <pivotArea type="data" outline="0" fieldPosition="0">
        <references count="2">
          <reference field="4294967294" count="1" selected="0">
            <x v="0"/>
          </reference>
          <reference field="1" count="1" selected="0">
            <x v="6"/>
          </reference>
        </references>
      </pivotArea>
    </chartFormat>
    <chartFormat chart="5" format="26">
      <pivotArea type="data" outline="0" fieldPosition="0">
        <references count="2">
          <reference field="4294967294" count="1" selected="0">
            <x v="0"/>
          </reference>
          <reference field="1" count="1" selected="0">
            <x v="7"/>
          </reference>
        </references>
      </pivotArea>
    </chartFormat>
  </chart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641D20-DAFF-4536-92CB-C0B19F3A0A04}" name="PivotTable6" cacheId="5" applyNumberFormats="0" applyBorderFormats="0" applyFontFormats="0" applyPatternFormats="0" applyAlignmentFormats="0" applyWidthHeightFormats="1" dataCaption="Values" tag="6e3abcab-3f2b-4739-bdb2-36d9aff68458" updatedVersion="8" minRefreshableVersion="3" useAutoFormatting="1" subtotalHiddenItems="1" itemPrintTitles="1" createdVersion="5" indent="0" outline="1" outlineData="1" multipleFieldFilters="0" chartFormat="37">
  <location ref="L6:M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1">
      <pivotArea collapsedLevelsAreSubtotals="1" fieldPosition="0">
        <references count="1">
          <reference field="0" count="0"/>
        </references>
      </pivotArea>
    </format>
  </formats>
  <chartFormats count="3">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A7ECCC-BFE0-47FB-8471-ECE91B40DF0F}" name="PivotTable1" cacheId="1" applyNumberFormats="0" applyBorderFormats="0" applyFontFormats="0" applyPatternFormats="0" applyAlignmentFormats="0" applyWidthHeightFormats="1" dataCaption="Values" tag="6e3abcab-3f2b-4739-bdb2-36d9aff68458"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Patient Id" fld="0" subtotal="count" baseField="0" baseItem="0"/>
  </dataFields>
  <pivotHierarchies count="38">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F9832C-1D43-4477-BA6C-4F27A99AD869}" name="PivotTable9" cacheId="6" applyNumberFormats="0" applyBorderFormats="0" applyFontFormats="0" applyPatternFormats="0" applyAlignmentFormats="0" applyWidthHeightFormats="1" dataCaption="Values" tag="6e3abcab-3f2b-4739-bdb2-36d9aff68458" updatedVersion="8" minRefreshableVersion="3" subtotalHiddenItems="1" itemPrintTitles="1" createdVersion="5" indent="0" outline="1" outlineData="1" multipleFieldFilters="0" chartFormat="13">
  <location ref="A43:C46"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sortType="descending" defaultSubtotal="0" defaultAttributeDrillState="1">
      <items count="2">
        <item x="1"/>
        <item x="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3"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3" uniqueName="[__Xl2].[Measures].[Count of Patient Admission Flag]"/>
        </ext>
      </extLst>
    </dataField>
  </dataFields>
  <chartFormats count="2">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Hierarchies count="39">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0A93E60-BE8D-48C2-8033-E8A1DE39478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ale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991F128-4C32-4089-8831-971A00F3C6DA}"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9"/>
    <pivotTable tabId="1" name="PivotTable10"/>
    <pivotTable tabId="1" name="PivotTable11"/>
    <pivotTable tabId="1" name="PivotTable12"/>
    <pivotTable tabId="1" name="PivotTable15"/>
    <pivotTable tabId="1" name="PivotTable16"/>
    <pivotTable tabId="1" name="PivotTable18"/>
  </pivotTables>
  <data>
    <olap pivotCacheId="103497268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C4B9D04-BE93-48B7-94D1-C71E24605631}" sourceName="[Calendar_Table].[Date (Year)]">
  <pivotTables>
    <pivotTable tabId="1" name="PivotTable18"/>
    <pivotTable tabId="1" name="PivotTable1"/>
    <pivotTable tabId="1" name="PivotTable10"/>
    <pivotTable tabId="1" name="PivotTable11"/>
    <pivotTable tabId="1" name="PivotTable12"/>
    <pivotTable tabId="1" name="PivotTable15"/>
    <pivotTable tabId="1" name="PivotTable16"/>
    <pivotTable tabId="1" name="PivotTable2"/>
    <pivotTable tabId="1" name="PivotTable3"/>
    <pivotTable tabId="1" name="PivotTable4"/>
    <pivotTable tabId="1" name="PivotTable5"/>
    <pivotTable tabId="1" name="PivotTable6"/>
    <pivotTable tabId="1" name="PivotTable9"/>
  </pivotTables>
  <data>
    <olap pivotCacheId="1019224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0C3173D-8602-4EC4-9CA8-235603216DBE}" cache="Slicer_Date__Month" caption="Date (Month)" showCaption="0" level="1" style="Slicer Style 1" rowHeight="360000"/>
  <slicer name="Date (Year)" xr10:uid="{0173CBBE-F695-46A0-A421-E663B3FD266C}" cache="Slicer_Date__Year" caption="Date (Year)" columnCount="2" showCaption="0" level="1" style="Slicer Style 1" rowHeight="61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2D047A-7F0F-447F-81D7-4ED49F28EC4C}" name="Table_ExternalData_1" displayName="Table_ExternalData_1" ref="A3:M434" tableType="queryTable" totalsRowShown="0">
  <autoFilter ref="A3:M434" xr:uid="{D62D047A-7F0F-447F-81D7-4ED49F28EC4C}"/>
  <tableColumns count="13">
    <tableColumn id="1" xr3:uid="{4DC81197-93AD-48AE-A4AE-D1E897453FCA}" uniqueName="1" name="Hospital Emergency Room Data[Patient Id]" queryTableFieldId="1"/>
    <tableColumn id="2" xr3:uid="{C924A85B-AED7-4012-A3C0-1DDF9FD2FD89}" uniqueName="2" name="Hospital Emergency Room Data[Patient Admission Date]" queryTableFieldId="2" dataDxfId="13"/>
    <tableColumn id="3" xr3:uid="{8C63CCF9-8676-4397-AE3E-E3AB0F96F0BE}" uniqueName="3" name="Hospital Emergency Room Data[Patient Admission Time]" queryTableFieldId="3" dataDxfId="12"/>
    <tableColumn id="4" xr3:uid="{6C352CE5-4AA8-4173-B09B-0F2B877D8A0E}" uniqueName="4" name="Hospital Emergency Room Data[Merged]" queryTableFieldId="4"/>
    <tableColumn id="5" xr3:uid="{73BDB62B-A925-49A1-A5C7-AD0AE63935F1}" uniqueName="5" name="Hospital Emergency Room Data[Patient Gender]" queryTableFieldId="5"/>
    <tableColumn id="6" xr3:uid="{51165E26-0795-470C-A274-BCF2BEBB4E15}" uniqueName="6" name="Hospital Emergency Room Data[Patient Age]" queryTableFieldId="6"/>
    <tableColumn id="7" xr3:uid="{7A0FBF75-58E6-4F4F-8DDE-8086305FB5DB}" uniqueName="7" name="Hospital Emergency Room Data[Patient Race]" queryTableFieldId="7"/>
    <tableColumn id="8" xr3:uid="{C07C90AF-F5AD-405D-87E4-4A7C98866475}" uniqueName="8" name="Hospital Emergency Room Data[Department Referral]" queryTableFieldId="8"/>
    <tableColumn id="9" xr3:uid="{D001EDC9-1704-4CF3-A264-19C52A90F495}" uniqueName="9" name="Hospital Emergency Room Data[Patient Admission Flag]" queryTableFieldId="9"/>
    <tableColumn id="10" xr3:uid="{66E81D8E-CA62-4D99-AFAC-4FB9C244DDE0}" uniqueName="10" name="Hospital Emergency Room Data[Patient Satisfaction Score]" queryTableFieldId="10"/>
    <tableColumn id="11" xr3:uid="{1B1237DC-156B-410E-9FF5-52FA92555EFD}" uniqueName="11" name="Hospital Emergency Room Data[Patient Waittime]" queryTableFieldId="11"/>
    <tableColumn id="12" xr3:uid="{A6F06272-B0C9-4C57-AC2E-F69ED2679EAA}" uniqueName="12" name="Hospital Emergency Room Data[Age Group]" queryTableFieldId="12"/>
    <tableColumn id="13" xr3:uid="{59D50113-E292-4C43-AFF7-20C190D589BB}" uniqueName="13" name="Hospital Emergency Room Data[Patient attend Sale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286ED-66C2-46AD-A048-44731026DACC}">
  <dimension ref="A1:M434"/>
  <sheetViews>
    <sheetView topLeftCell="F1" workbookViewId="0">
      <selection activeCell="B24" sqref="B24"/>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8.5546875" bestFit="1" customWidth="1"/>
  </cols>
  <sheetData>
    <row r="1" spans="1:13" x14ac:dyDescent="0.3">
      <c r="A1" s="7" t="s">
        <v>910</v>
      </c>
    </row>
    <row r="3" spans="1:13" x14ac:dyDescent="0.3">
      <c r="A3" t="s">
        <v>6</v>
      </c>
      <c r="B3" t="s">
        <v>7</v>
      </c>
      <c r="C3" t="s">
        <v>8</v>
      </c>
      <c r="D3" t="s">
        <v>9</v>
      </c>
      <c r="E3" t="s">
        <v>10</v>
      </c>
      <c r="F3" t="s">
        <v>11</v>
      </c>
      <c r="G3" t="s">
        <v>12</v>
      </c>
      <c r="H3" t="s">
        <v>13</v>
      </c>
      <c r="I3" t="s">
        <v>14</v>
      </c>
      <c r="J3" t="s">
        <v>15</v>
      </c>
      <c r="K3" t="s">
        <v>16</v>
      </c>
      <c r="L3" t="s">
        <v>17</v>
      </c>
      <c r="M3" t="s">
        <v>18</v>
      </c>
    </row>
    <row r="4" spans="1:13" x14ac:dyDescent="0.3">
      <c r="A4" t="s">
        <v>19</v>
      </c>
      <c r="B4" s="4">
        <v>45338</v>
      </c>
      <c r="C4" s="6">
        <v>0.21249999999999999</v>
      </c>
      <c r="D4" t="s">
        <v>20</v>
      </c>
      <c r="E4" t="s">
        <v>21</v>
      </c>
      <c r="F4">
        <v>22</v>
      </c>
      <c r="G4" t="s">
        <v>22</v>
      </c>
      <c r="H4" t="s">
        <v>23</v>
      </c>
      <c r="I4" t="s">
        <v>24</v>
      </c>
      <c r="K4">
        <v>23</v>
      </c>
      <c r="L4" t="s">
        <v>25</v>
      </c>
      <c r="M4" t="s">
        <v>26</v>
      </c>
    </row>
    <row r="5" spans="1:13" x14ac:dyDescent="0.3">
      <c r="A5" t="s">
        <v>27</v>
      </c>
      <c r="B5" s="4">
        <v>45332</v>
      </c>
      <c r="C5" s="6">
        <v>0.53819444444444442</v>
      </c>
      <c r="D5" t="s">
        <v>28</v>
      </c>
      <c r="E5" t="s">
        <v>21</v>
      </c>
      <c r="F5">
        <v>75</v>
      </c>
      <c r="G5" t="s">
        <v>22</v>
      </c>
      <c r="H5" t="s">
        <v>23</v>
      </c>
      <c r="I5" t="s">
        <v>24</v>
      </c>
      <c r="K5">
        <v>39</v>
      </c>
      <c r="L5" t="s">
        <v>29</v>
      </c>
      <c r="M5" t="s">
        <v>30</v>
      </c>
    </row>
    <row r="6" spans="1:13" x14ac:dyDescent="0.3">
      <c r="A6" t="s">
        <v>31</v>
      </c>
      <c r="B6" s="4">
        <v>45336</v>
      </c>
      <c r="C6" s="6">
        <v>0.44791666666666669</v>
      </c>
      <c r="D6" t="s">
        <v>32</v>
      </c>
      <c r="E6" t="s">
        <v>21</v>
      </c>
      <c r="F6">
        <v>57</v>
      </c>
      <c r="G6" t="s">
        <v>22</v>
      </c>
      <c r="H6" t="s">
        <v>23</v>
      </c>
      <c r="I6" t="s">
        <v>24</v>
      </c>
      <c r="K6">
        <v>58</v>
      </c>
      <c r="L6" t="s">
        <v>33</v>
      </c>
      <c r="M6" t="s">
        <v>30</v>
      </c>
    </row>
    <row r="7" spans="1:13" x14ac:dyDescent="0.3">
      <c r="A7" t="s">
        <v>34</v>
      </c>
      <c r="B7" s="4">
        <v>45339</v>
      </c>
      <c r="C7" s="6">
        <v>0.86319444444444449</v>
      </c>
      <c r="D7" t="s">
        <v>35</v>
      </c>
      <c r="E7" t="s">
        <v>21</v>
      </c>
      <c r="F7">
        <v>37</v>
      </c>
      <c r="G7" t="s">
        <v>22</v>
      </c>
      <c r="H7" t="s">
        <v>23</v>
      </c>
      <c r="I7" t="s">
        <v>24</v>
      </c>
      <c r="K7">
        <v>22</v>
      </c>
      <c r="L7" t="s">
        <v>36</v>
      </c>
      <c r="M7" t="s">
        <v>26</v>
      </c>
    </row>
    <row r="8" spans="1:13" x14ac:dyDescent="0.3">
      <c r="A8" t="s">
        <v>37</v>
      </c>
      <c r="B8" s="4">
        <v>45350</v>
      </c>
      <c r="C8" s="6">
        <v>0.74722222222222223</v>
      </c>
      <c r="D8" t="s">
        <v>38</v>
      </c>
      <c r="E8" t="s">
        <v>21</v>
      </c>
      <c r="F8">
        <v>20</v>
      </c>
      <c r="G8" t="s">
        <v>22</v>
      </c>
      <c r="H8" t="s">
        <v>23</v>
      </c>
      <c r="I8" t="s">
        <v>24</v>
      </c>
      <c r="K8">
        <v>40</v>
      </c>
      <c r="L8" t="s">
        <v>39</v>
      </c>
      <c r="M8" t="s">
        <v>30</v>
      </c>
    </row>
    <row r="9" spans="1:13" x14ac:dyDescent="0.3">
      <c r="A9" t="s">
        <v>40</v>
      </c>
      <c r="B9" s="4">
        <v>45338</v>
      </c>
      <c r="C9" s="6">
        <v>0.87847222222222221</v>
      </c>
      <c r="D9" t="s">
        <v>41</v>
      </c>
      <c r="E9" t="s">
        <v>21</v>
      </c>
      <c r="F9">
        <v>19</v>
      </c>
      <c r="G9" t="s">
        <v>22</v>
      </c>
      <c r="H9" t="s">
        <v>23</v>
      </c>
      <c r="I9" t="s">
        <v>24</v>
      </c>
      <c r="K9">
        <v>42</v>
      </c>
      <c r="L9" t="s">
        <v>39</v>
      </c>
      <c r="M9" t="s">
        <v>30</v>
      </c>
    </row>
    <row r="10" spans="1:13" x14ac:dyDescent="0.3">
      <c r="A10" t="s">
        <v>42</v>
      </c>
      <c r="B10" s="4">
        <v>45340</v>
      </c>
      <c r="C10" s="6">
        <v>0.97916666666666663</v>
      </c>
      <c r="D10" t="s">
        <v>43</v>
      </c>
      <c r="E10" t="s">
        <v>21</v>
      </c>
      <c r="F10">
        <v>17</v>
      </c>
      <c r="G10" t="s">
        <v>22</v>
      </c>
      <c r="H10" t="s">
        <v>23</v>
      </c>
      <c r="I10" t="s">
        <v>24</v>
      </c>
      <c r="K10">
        <v>23</v>
      </c>
      <c r="L10" t="s">
        <v>39</v>
      </c>
      <c r="M10" t="s">
        <v>26</v>
      </c>
    </row>
    <row r="11" spans="1:13" x14ac:dyDescent="0.3">
      <c r="A11" t="s">
        <v>44</v>
      </c>
      <c r="B11" s="4">
        <v>45350</v>
      </c>
      <c r="C11" s="6">
        <v>0.52152777777777781</v>
      </c>
      <c r="D11" t="s">
        <v>45</v>
      </c>
      <c r="E11" t="s">
        <v>21</v>
      </c>
      <c r="F11">
        <v>56</v>
      </c>
      <c r="G11" t="s">
        <v>22</v>
      </c>
      <c r="H11" t="s">
        <v>23</v>
      </c>
      <c r="I11" t="s">
        <v>24</v>
      </c>
      <c r="K11">
        <v>12</v>
      </c>
      <c r="L11" t="s">
        <v>33</v>
      </c>
      <c r="M11" t="s">
        <v>26</v>
      </c>
    </row>
    <row r="12" spans="1:13" x14ac:dyDescent="0.3">
      <c r="A12" t="s">
        <v>46</v>
      </c>
      <c r="B12" s="4">
        <v>45344</v>
      </c>
      <c r="C12" s="6">
        <v>0.99305555555555558</v>
      </c>
      <c r="D12" t="s">
        <v>47</v>
      </c>
      <c r="E12" t="s">
        <v>21</v>
      </c>
      <c r="F12">
        <v>5</v>
      </c>
      <c r="G12" t="s">
        <v>22</v>
      </c>
      <c r="H12" t="s">
        <v>23</v>
      </c>
      <c r="I12" t="s">
        <v>24</v>
      </c>
      <c r="K12">
        <v>33</v>
      </c>
      <c r="L12" t="s">
        <v>48</v>
      </c>
      <c r="M12" t="s">
        <v>30</v>
      </c>
    </row>
    <row r="13" spans="1:13" x14ac:dyDescent="0.3">
      <c r="A13" t="s">
        <v>49</v>
      </c>
      <c r="B13" s="4">
        <v>45340</v>
      </c>
      <c r="C13" s="6">
        <v>0.66180555555555554</v>
      </c>
      <c r="D13" t="s">
        <v>50</v>
      </c>
      <c r="E13" t="s">
        <v>21</v>
      </c>
      <c r="F13">
        <v>58</v>
      </c>
      <c r="G13" t="s">
        <v>22</v>
      </c>
      <c r="H13" t="s">
        <v>23</v>
      </c>
      <c r="I13" t="s">
        <v>24</v>
      </c>
      <c r="K13">
        <v>36</v>
      </c>
      <c r="L13" t="s">
        <v>33</v>
      </c>
      <c r="M13" t="s">
        <v>30</v>
      </c>
    </row>
    <row r="14" spans="1:13" x14ac:dyDescent="0.3">
      <c r="A14" t="s">
        <v>51</v>
      </c>
      <c r="B14" s="4">
        <v>45338</v>
      </c>
      <c r="C14" s="6">
        <v>0.14583333333333334</v>
      </c>
      <c r="D14" t="s">
        <v>52</v>
      </c>
      <c r="E14" t="s">
        <v>21</v>
      </c>
      <c r="F14">
        <v>61</v>
      </c>
      <c r="G14" t="s">
        <v>22</v>
      </c>
      <c r="H14" t="s">
        <v>23</v>
      </c>
      <c r="I14" t="s">
        <v>24</v>
      </c>
      <c r="K14">
        <v>56</v>
      </c>
      <c r="L14" t="s">
        <v>53</v>
      </c>
      <c r="M14" t="s">
        <v>30</v>
      </c>
    </row>
    <row r="15" spans="1:13" x14ac:dyDescent="0.3">
      <c r="A15" t="s">
        <v>54</v>
      </c>
      <c r="B15" s="4">
        <v>45344</v>
      </c>
      <c r="C15" s="6">
        <v>0.27083333333333331</v>
      </c>
      <c r="D15" t="s">
        <v>55</v>
      </c>
      <c r="E15" t="s">
        <v>21</v>
      </c>
      <c r="F15">
        <v>47</v>
      </c>
      <c r="G15" t="s">
        <v>22</v>
      </c>
      <c r="H15" t="s">
        <v>23</v>
      </c>
      <c r="I15" t="s">
        <v>24</v>
      </c>
      <c r="K15">
        <v>58</v>
      </c>
      <c r="L15" t="s">
        <v>56</v>
      </c>
      <c r="M15" t="s">
        <v>30</v>
      </c>
    </row>
    <row r="16" spans="1:13" x14ac:dyDescent="0.3">
      <c r="A16" t="s">
        <v>57</v>
      </c>
      <c r="B16" s="4">
        <v>45342</v>
      </c>
      <c r="C16" s="6">
        <v>0.2013888888888889</v>
      </c>
      <c r="D16" t="s">
        <v>58</v>
      </c>
      <c r="E16" t="s">
        <v>21</v>
      </c>
      <c r="F16">
        <v>11</v>
      </c>
      <c r="G16" t="s">
        <v>22</v>
      </c>
      <c r="H16" t="s">
        <v>23</v>
      </c>
      <c r="I16" t="s">
        <v>24</v>
      </c>
      <c r="K16">
        <v>55</v>
      </c>
      <c r="L16" t="s">
        <v>39</v>
      </c>
      <c r="M16" t="s">
        <v>30</v>
      </c>
    </row>
    <row r="17" spans="1:13" x14ac:dyDescent="0.3">
      <c r="A17" t="s">
        <v>59</v>
      </c>
      <c r="B17" s="4">
        <v>45346</v>
      </c>
      <c r="C17" s="6">
        <v>0.24236111111111111</v>
      </c>
      <c r="D17" t="s">
        <v>60</v>
      </c>
      <c r="E17" t="s">
        <v>21</v>
      </c>
      <c r="F17">
        <v>32</v>
      </c>
      <c r="G17" t="s">
        <v>22</v>
      </c>
      <c r="H17" t="s">
        <v>23</v>
      </c>
      <c r="I17" t="s">
        <v>24</v>
      </c>
      <c r="K17">
        <v>14</v>
      </c>
      <c r="L17" t="s">
        <v>36</v>
      </c>
      <c r="M17" t="s">
        <v>26</v>
      </c>
    </row>
    <row r="18" spans="1:13" x14ac:dyDescent="0.3">
      <c r="A18" t="s">
        <v>61</v>
      </c>
      <c r="B18" s="4">
        <v>45340</v>
      </c>
      <c r="C18" s="6">
        <v>0.58680555555555558</v>
      </c>
      <c r="D18" t="s">
        <v>62</v>
      </c>
      <c r="E18" t="s">
        <v>21</v>
      </c>
      <c r="F18">
        <v>58</v>
      </c>
      <c r="G18" t="s">
        <v>22</v>
      </c>
      <c r="H18" t="s">
        <v>23</v>
      </c>
      <c r="I18" t="s">
        <v>24</v>
      </c>
      <c r="K18">
        <v>21</v>
      </c>
      <c r="L18" t="s">
        <v>33</v>
      </c>
      <c r="M18" t="s">
        <v>26</v>
      </c>
    </row>
    <row r="19" spans="1:13" x14ac:dyDescent="0.3">
      <c r="A19" t="s">
        <v>63</v>
      </c>
      <c r="B19" s="4">
        <v>45324</v>
      </c>
      <c r="C19" s="6">
        <v>0.79513888888888884</v>
      </c>
      <c r="D19" t="s">
        <v>64</v>
      </c>
      <c r="E19" t="s">
        <v>21</v>
      </c>
      <c r="F19">
        <v>28</v>
      </c>
      <c r="G19" t="s">
        <v>22</v>
      </c>
      <c r="H19" t="s">
        <v>23</v>
      </c>
      <c r="I19" t="s">
        <v>24</v>
      </c>
      <c r="K19">
        <v>49</v>
      </c>
      <c r="L19" t="s">
        <v>25</v>
      </c>
      <c r="M19" t="s">
        <v>30</v>
      </c>
    </row>
    <row r="20" spans="1:13" x14ac:dyDescent="0.3">
      <c r="A20" t="s">
        <v>65</v>
      </c>
      <c r="B20" s="4">
        <v>45347</v>
      </c>
      <c r="C20" s="6">
        <v>0.80694444444444446</v>
      </c>
      <c r="D20" t="s">
        <v>66</v>
      </c>
      <c r="E20" t="s">
        <v>21</v>
      </c>
      <c r="F20">
        <v>48</v>
      </c>
      <c r="G20" t="s">
        <v>22</v>
      </c>
      <c r="H20" t="s">
        <v>23</v>
      </c>
      <c r="I20" t="s">
        <v>24</v>
      </c>
      <c r="K20">
        <v>41</v>
      </c>
      <c r="L20" t="s">
        <v>56</v>
      </c>
      <c r="M20" t="s">
        <v>30</v>
      </c>
    </row>
    <row r="21" spans="1:13" x14ac:dyDescent="0.3">
      <c r="A21" t="s">
        <v>67</v>
      </c>
      <c r="B21" s="4">
        <v>45343</v>
      </c>
      <c r="C21" s="6">
        <v>0.95486111111111116</v>
      </c>
      <c r="D21" t="s">
        <v>68</v>
      </c>
      <c r="E21" t="s">
        <v>69</v>
      </c>
      <c r="F21">
        <v>44</v>
      </c>
      <c r="G21" t="s">
        <v>22</v>
      </c>
      <c r="H21" t="s">
        <v>23</v>
      </c>
      <c r="I21" t="s">
        <v>24</v>
      </c>
      <c r="K21">
        <v>30</v>
      </c>
      <c r="L21" t="s">
        <v>56</v>
      </c>
      <c r="M21" t="s">
        <v>30</v>
      </c>
    </row>
    <row r="22" spans="1:13" x14ac:dyDescent="0.3">
      <c r="A22" t="s">
        <v>70</v>
      </c>
      <c r="B22" s="4">
        <v>45343</v>
      </c>
      <c r="C22" s="6">
        <v>0.37847222222222221</v>
      </c>
      <c r="D22" t="s">
        <v>71</v>
      </c>
      <c r="E22" t="s">
        <v>69</v>
      </c>
      <c r="F22">
        <v>38</v>
      </c>
      <c r="G22" t="s">
        <v>22</v>
      </c>
      <c r="H22" t="s">
        <v>23</v>
      </c>
      <c r="I22" t="s">
        <v>24</v>
      </c>
      <c r="K22">
        <v>55</v>
      </c>
      <c r="L22" t="s">
        <v>36</v>
      </c>
      <c r="M22" t="s">
        <v>30</v>
      </c>
    </row>
    <row r="23" spans="1:13" x14ac:dyDescent="0.3">
      <c r="A23" t="s">
        <v>72</v>
      </c>
      <c r="B23" s="4">
        <v>45333</v>
      </c>
      <c r="C23" s="6">
        <v>0.55486111111111114</v>
      </c>
      <c r="D23" t="s">
        <v>73</v>
      </c>
      <c r="E23" t="s">
        <v>69</v>
      </c>
      <c r="F23">
        <v>72</v>
      </c>
      <c r="G23" t="s">
        <v>22</v>
      </c>
      <c r="H23" t="s">
        <v>23</v>
      </c>
      <c r="I23" t="s">
        <v>24</v>
      </c>
      <c r="K23">
        <v>49</v>
      </c>
      <c r="L23" t="s">
        <v>29</v>
      </c>
      <c r="M23" t="s">
        <v>30</v>
      </c>
    </row>
    <row r="24" spans="1:13" x14ac:dyDescent="0.3">
      <c r="A24" t="s">
        <v>74</v>
      </c>
      <c r="B24" s="4">
        <v>45330</v>
      </c>
      <c r="C24" s="6">
        <v>0.69791666666666663</v>
      </c>
      <c r="D24" t="s">
        <v>75</v>
      </c>
      <c r="E24" t="s">
        <v>69</v>
      </c>
      <c r="F24">
        <v>16</v>
      </c>
      <c r="G24" t="s">
        <v>22</v>
      </c>
      <c r="H24" t="s">
        <v>23</v>
      </c>
      <c r="I24" t="s">
        <v>24</v>
      </c>
      <c r="K24">
        <v>46</v>
      </c>
      <c r="L24" t="s">
        <v>39</v>
      </c>
      <c r="M24" t="s">
        <v>30</v>
      </c>
    </row>
    <row r="25" spans="1:13" x14ac:dyDescent="0.3">
      <c r="A25" t="s">
        <v>76</v>
      </c>
      <c r="B25" s="4">
        <v>45347</v>
      </c>
      <c r="C25" s="6">
        <v>0.66041666666666665</v>
      </c>
      <c r="D25" t="s">
        <v>77</v>
      </c>
      <c r="E25" t="s">
        <v>69</v>
      </c>
      <c r="F25">
        <v>51</v>
      </c>
      <c r="G25" t="s">
        <v>22</v>
      </c>
      <c r="H25" t="s">
        <v>23</v>
      </c>
      <c r="I25" t="s">
        <v>24</v>
      </c>
      <c r="K25">
        <v>33</v>
      </c>
      <c r="L25" t="s">
        <v>33</v>
      </c>
      <c r="M25" t="s">
        <v>30</v>
      </c>
    </row>
    <row r="26" spans="1:13" x14ac:dyDescent="0.3">
      <c r="A26" t="s">
        <v>78</v>
      </c>
      <c r="B26" s="4">
        <v>45329</v>
      </c>
      <c r="C26" s="6">
        <v>0.35208333333333336</v>
      </c>
      <c r="D26" t="s">
        <v>79</v>
      </c>
      <c r="E26" t="s">
        <v>69</v>
      </c>
      <c r="F26">
        <v>65</v>
      </c>
      <c r="G26" t="s">
        <v>22</v>
      </c>
      <c r="H26" t="s">
        <v>23</v>
      </c>
      <c r="I26" t="s">
        <v>24</v>
      </c>
      <c r="K26">
        <v>39</v>
      </c>
      <c r="L26" t="s">
        <v>53</v>
      </c>
      <c r="M26" t="s">
        <v>30</v>
      </c>
    </row>
    <row r="27" spans="1:13" x14ac:dyDescent="0.3">
      <c r="A27" t="s">
        <v>80</v>
      </c>
      <c r="B27" s="4">
        <v>45334</v>
      </c>
      <c r="C27" s="6">
        <v>0.54652777777777772</v>
      </c>
      <c r="D27" t="s">
        <v>81</v>
      </c>
      <c r="E27" t="s">
        <v>69</v>
      </c>
      <c r="F27">
        <v>18</v>
      </c>
      <c r="G27" t="s">
        <v>22</v>
      </c>
      <c r="H27" t="s">
        <v>23</v>
      </c>
      <c r="I27" t="s">
        <v>24</v>
      </c>
      <c r="K27">
        <v>38</v>
      </c>
      <c r="L27" t="s">
        <v>39</v>
      </c>
      <c r="M27" t="s">
        <v>30</v>
      </c>
    </row>
    <row r="28" spans="1:13" x14ac:dyDescent="0.3">
      <c r="A28" t="s">
        <v>82</v>
      </c>
      <c r="B28" s="4">
        <v>45344</v>
      </c>
      <c r="C28" s="6">
        <v>0.69305555555555554</v>
      </c>
      <c r="D28" t="s">
        <v>83</v>
      </c>
      <c r="E28" t="s">
        <v>69</v>
      </c>
      <c r="F28">
        <v>72</v>
      </c>
      <c r="G28" t="s">
        <v>22</v>
      </c>
      <c r="H28" t="s">
        <v>23</v>
      </c>
      <c r="I28" t="s">
        <v>24</v>
      </c>
      <c r="K28">
        <v>14</v>
      </c>
      <c r="L28" t="s">
        <v>29</v>
      </c>
      <c r="M28" t="s">
        <v>26</v>
      </c>
    </row>
    <row r="29" spans="1:13" x14ac:dyDescent="0.3">
      <c r="A29" t="s">
        <v>84</v>
      </c>
      <c r="B29" s="4">
        <v>45344</v>
      </c>
      <c r="C29" s="6">
        <v>0.35208333333333336</v>
      </c>
      <c r="D29" t="s">
        <v>85</v>
      </c>
      <c r="E29" t="s">
        <v>69</v>
      </c>
      <c r="F29">
        <v>65</v>
      </c>
      <c r="G29" t="s">
        <v>22</v>
      </c>
      <c r="H29" t="s">
        <v>23</v>
      </c>
      <c r="I29" t="s">
        <v>24</v>
      </c>
      <c r="K29">
        <v>36</v>
      </c>
      <c r="L29" t="s">
        <v>53</v>
      </c>
      <c r="M29" t="s">
        <v>30</v>
      </c>
    </row>
    <row r="30" spans="1:13" x14ac:dyDescent="0.3">
      <c r="A30" t="s">
        <v>86</v>
      </c>
      <c r="B30" s="4">
        <v>45343</v>
      </c>
      <c r="C30" s="6">
        <v>0.74652777777777779</v>
      </c>
      <c r="D30" t="s">
        <v>87</v>
      </c>
      <c r="E30" t="s">
        <v>69</v>
      </c>
      <c r="F30">
        <v>58</v>
      </c>
      <c r="G30" t="s">
        <v>22</v>
      </c>
      <c r="H30" t="s">
        <v>23</v>
      </c>
      <c r="I30" t="s">
        <v>24</v>
      </c>
      <c r="K30">
        <v>24</v>
      </c>
      <c r="L30" t="s">
        <v>33</v>
      </c>
      <c r="M30" t="s">
        <v>26</v>
      </c>
    </row>
    <row r="31" spans="1:13" x14ac:dyDescent="0.3">
      <c r="A31" t="s">
        <v>88</v>
      </c>
      <c r="B31" s="4">
        <v>45330</v>
      </c>
      <c r="C31" s="6">
        <v>0.99930555555555556</v>
      </c>
      <c r="D31" t="s">
        <v>89</v>
      </c>
      <c r="E31" t="s">
        <v>69</v>
      </c>
      <c r="F31">
        <v>36</v>
      </c>
      <c r="G31" t="s">
        <v>22</v>
      </c>
      <c r="H31" t="s">
        <v>23</v>
      </c>
      <c r="I31" t="s">
        <v>24</v>
      </c>
      <c r="K31">
        <v>49</v>
      </c>
      <c r="L31" t="s">
        <v>36</v>
      </c>
      <c r="M31" t="s">
        <v>30</v>
      </c>
    </row>
    <row r="32" spans="1:13" x14ac:dyDescent="0.3">
      <c r="A32" t="s">
        <v>90</v>
      </c>
      <c r="B32" s="4">
        <v>45327</v>
      </c>
      <c r="C32" s="6">
        <v>0.46041666666666664</v>
      </c>
      <c r="D32" t="s">
        <v>91</v>
      </c>
      <c r="E32" t="s">
        <v>69</v>
      </c>
      <c r="F32">
        <v>79</v>
      </c>
      <c r="G32" t="s">
        <v>22</v>
      </c>
      <c r="H32" t="s">
        <v>23</v>
      </c>
      <c r="I32" t="s">
        <v>24</v>
      </c>
      <c r="K32">
        <v>46</v>
      </c>
      <c r="L32" t="s">
        <v>29</v>
      </c>
      <c r="M32" t="s">
        <v>30</v>
      </c>
    </row>
    <row r="33" spans="1:13" x14ac:dyDescent="0.3">
      <c r="A33" t="s">
        <v>92</v>
      </c>
      <c r="B33" s="4">
        <v>45346</v>
      </c>
      <c r="C33" s="6">
        <v>0.29305555555555557</v>
      </c>
      <c r="D33" t="s">
        <v>93</v>
      </c>
      <c r="E33" t="s">
        <v>69</v>
      </c>
      <c r="F33">
        <v>72</v>
      </c>
      <c r="G33" t="s">
        <v>22</v>
      </c>
      <c r="H33" t="s">
        <v>23</v>
      </c>
      <c r="I33" t="s">
        <v>24</v>
      </c>
      <c r="K33">
        <v>36</v>
      </c>
      <c r="L33" t="s">
        <v>29</v>
      </c>
      <c r="M33" t="s">
        <v>30</v>
      </c>
    </row>
    <row r="34" spans="1:13" x14ac:dyDescent="0.3">
      <c r="A34" t="s">
        <v>94</v>
      </c>
      <c r="B34" s="4">
        <v>45345</v>
      </c>
      <c r="C34" s="6">
        <v>0.72499999999999998</v>
      </c>
      <c r="D34" t="s">
        <v>95</v>
      </c>
      <c r="E34" t="s">
        <v>69</v>
      </c>
      <c r="F34">
        <v>46</v>
      </c>
      <c r="G34" t="s">
        <v>22</v>
      </c>
      <c r="H34" t="s">
        <v>23</v>
      </c>
      <c r="I34" t="s">
        <v>24</v>
      </c>
      <c r="K34">
        <v>46</v>
      </c>
      <c r="L34" t="s">
        <v>56</v>
      </c>
      <c r="M34" t="s">
        <v>30</v>
      </c>
    </row>
    <row r="35" spans="1:13" x14ac:dyDescent="0.3">
      <c r="A35" t="s">
        <v>96</v>
      </c>
      <c r="B35" s="4">
        <v>45340</v>
      </c>
      <c r="C35" s="6">
        <v>0.60138888888888886</v>
      </c>
      <c r="D35" t="s">
        <v>97</v>
      </c>
      <c r="E35" t="s">
        <v>69</v>
      </c>
      <c r="F35">
        <v>31</v>
      </c>
      <c r="G35" t="s">
        <v>22</v>
      </c>
      <c r="H35" t="s">
        <v>23</v>
      </c>
      <c r="I35" t="s">
        <v>98</v>
      </c>
      <c r="K35">
        <v>39</v>
      </c>
      <c r="L35" t="s">
        <v>36</v>
      </c>
      <c r="M35" t="s">
        <v>30</v>
      </c>
    </row>
    <row r="36" spans="1:13" x14ac:dyDescent="0.3">
      <c r="A36" t="s">
        <v>99</v>
      </c>
      <c r="B36" s="4">
        <v>45323</v>
      </c>
      <c r="C36" s="6">
        <v>0.99791666666666667</v>
      </c>
      <c r="D36" t="s">
        <v>100</v>
      </c>
      <c r="E36" t="s">
        <v>69</v>
      </c>
      <c r="F36">
        <v>5</v>
      </c>
      <c r="G36" t="s">
        <v>22</v>
      </c>
      <c r="H36" t="s">
        <v>23</v>
      </c>
      <c r="I36" t="s">
        <v>98</v>
      </c>
      <c r="K36">
        <v>50</v>
      </c>
      <c r="L36" t="s">
        <v>48</v>
      </c>
      <c r="M36" t="s">
        <v>30</v>
      </c>
    </row>
    <row r="37" spans="1:13" x14ac:dyDescent="0.3">
      <c r="A37" t="s">
        <v>101</v>
      </c>
      <c r="B37" s="4">
        <v>45348</v>
      </c>
      <c r="C37" s="6">
        <v>0.3</v>
      </c>
      <c r="D37" t="s">
        <v>102</v>
      </c>
      <c r="E37" t="s">
        <v>69</v>
      </c>
      <c r="F37">
        <v>35</v>
      </c>
      <c r="G37" t="s">
        <v>22</v>
      </c>
      <c r="H37" t="s">
        <v>23</v>
      </c>
      <c r="I37" t="s">
        <v>98</v>
      </c>
      <c r="K37">
        <v>24</v>
      </c>
      <c r="L37" t="s">
        <v>36</v>
      </c>
      <c r="M37" t="s">
        <v>26</v>
      </c>
    </row>
    <row r="38" spans="1:13" x14ac:dyDescent="0.3">
      <c r="A38" t="s">
        <v>103</v>
      </c>
      <c r="B38" s="4">
        <v>45345</v>
      </c>
      <c r="C38" s="6">
        <v>0.23472222222222222</v>
      </c>
      <c r="D38" t="s">
        <v>104</v>
      </c>
      <c r="E38" t="s">
        <v>69</v>
      </c>
      <c r="F38">
        <v>8</v>
      </c>
      <c r="G38" t="s">
        <v>22</v>
      </c>
      <c r="H38" t="s">
        <v>23</v>
      </c>
      <c r="I38" t="s">
        <v>98</v>
      </c>
      <c r="K38">
        <v>58</v>
      </c>
      <c r="L38" t="s">
        <v>48</v>
      </c>
      <c r="M38" t="s">
        <v>30</v>
      </c>
    </row>
    <row r="39" spans="1:13" x14ac:dyDescent="0.3">
      <c r="A39" t="s">
        <v>105</v>
      </c>
      <c r="B39" s="4">
        <v>45329</v>
      </c>
      <c r="C39" s="6">
        <v>0.2298611111111111</v>
      </c>
      <c r="D39" t="s">
        <v>106</v>
      </c>
      <c r="E39" t="s">
        <v>69</v>
      </c>
      <c r="F39">
        <v>22</v>
      </c>
      <c r="G39" t="s">
        <v>22</v>
      </c>
      <c r="H39" t="s">
        <v>23</v>
      </c>
      <c r="I39" t="s">
        <v>98</v>
      </c>
      <c r="K39">
        <v>10</v>
      </c>
      <c r="L39" t="s">
        <v>25</v>
      </c>
      <c r="M39" t="s">
        <v>26</v>
      </c>
    </row>
    <row r="40" spans="1:13" x14ac:dyDescent="0.3">
      <c r="A40" t="s">
        <v>107</v>
      </c>
      <c r="B40" s="4">
        <v>45334</v>
      </c>
      <c r="C40" s="6">
        <v>0.87638888888888888</v>
      </c>
      <c r="D40" t="s">
        <v>108</v>
      </c>
      <c r="E40" t="s">
        <v>69</v>
      </c>
      <c r="F40">
        <v>60</v>
      </c>
      <c r="G40" t="s">
        <v>22</v>
      </c>
      <c r="H40" t="s">
        <v>23</v>
      </c>
      <c r="I40" t="s">
        <v>98</v>
      </c>
      <c r="K40">
        <v>17</v>
      </c>
      <c r="L40" t="s">
        <v>33</v>
      </c>
      <c r="M40" t="s">
        <v>26</v>
      </c>
    </row>
    <row r="41" spans="1:13" x14ac:dyDescent="0.3">
      <c r="A41" t="s">
        <v>109</v>
      </c>
      <c r="B41" s="4">
        <v>45339</v>
      </c>
      <c r="C41" s="6">
        <v>0.27916666666666667</v>
      </c>
      <c r="D41" t="s">
        <v>110</v>
      </c>
      <c r="E41" t="s">
        <v>69</v>
      </c>
      <c r="F41">
        <v>47</v>
      </c>
      <c r="G41" t="s">
        <v>22</v>
      </c>
      <c r="H41" t="s">
        <v>23</v>
      </c>
      <c r="I41" t="s">
        <v>98</v>
      </c>
      <c r="K41">
        <v>45</v>
      </c>
      <c r="L41" t="s">
        <v>56</v>
      </c>
      <c r="M41" t="s">
        <v>30</v>
      </c>
    </row>
    <row r="42" spans="1:13" x14ac:dyDescent="0.3">
      <c r="A42" t="s">
        <v>111</v>
      </c>
      <c r="B42" s="4">
        <v>45347</v>
      </c>
      <c r="C42" s="6">
        <v>0.48541666666666666</v>
      </c>
      <c r="D42" t="s">
        <v>112</v>
      </c>
      <c r="E42" t="s">
        <v>69</v>
      </c>
      <c r="F42">
        <v>49</v>
      </c>
      <c r="G42" t="s">
        <v>22</v>
      </c>
      <c r="H42" t="s">
        <v>23</v>
      </c>
      <c r="I42" t="s">
        <v>98</v>
      </c>
      <c r="K42">
        <v>13</v>
      </c>
      <c r="L42" t="s">
        <v>56</v>
      </c>
      <c r="M42" t="s">
        <v>26</v>
      </c>
    </row>
    <row r="43" spans="1:13" x14ac:dyDescent="0.3">
      <c r="A43" t="s">
        <v>113</v>
      </c>
      <c r="B43" s="4">
        <v>45351</v>
      </c>
      <c r="C43" s="6">
        <v>3.5416666666666666E-2</v>
      </c>
      <c r="D43" t="s">
        <v>114</v>
      </c>
      <c r="E43" t="s">
        <v>69</v>
      </c>
      <c r="F43">
        <v>25</v>
      </c>
      <c r="G43" t="s">
        <v>22</v>
      </c>
      <c r="H43" t="s">
        <v>23</v>
      </c>
      <c r="I43" t="s">
        <v>98</v>
      </c>
      <c r="K43">
        <v>36</v>
      </c>
      <c r="L43" t="s">
        <v>25</v>
      </c>
      <c r="M43" t="s">
        <v>30</v>
      </c>
    </row>
    <row r="44" spans="1:13" x14ac:dyDescent="0.3">
      <c r="A44" t="s">
        <v>115</v>
      </c>
      <c r="B44" s="4">
        <v>45334</v>
      </c>
      <c r="C44" s="6">
        <v>0.51527777777777772</v>
      </c>
      <c r="D44" t="s">
        <v>116</v>
      </c>
      <c r="E44" t="s">
        <v>69</v>
      </c>
      <c r="F44">
        <v>22</v>
      </c>
      <c r="G44" t="s">
        <v>22</v>
      </c>
      <c r="H44" t="s">
        <v>23</v>
      </c>
      <c r="I44" t="s">
        <v>98</v>
      </c>
      <c r="K44">
        <v>24</v>
      </c>
      <c r="L44" t="s">
        <v>25</v>
      </c>
      <c r="M44" t="s">
        <v>26</v>
      </c>
    </row>
    <row r="45" spans="1:13" x14ac:dyDescent="0.3">
      <c r="A45" t="s">
        <v>117</v>
      </c>
      <c r="B45" s="4">
        <v>45337</v>
      </c>
      <c r="C45" s="6">
        <v>0.56944444444444442</v>
      </c>
      <c r="D45" t="s">
        <v>118</v>
      </c>
      <c r="E45" t="s">
        <v>69</v>
      </c>
      <c r="F45">
        <v>51</v>
      </c>
      <c r="G45" t="s">
        <v>22</v>
      </c>
      <c r="H45" t="s">
        <v>23</v>
      </c>
      <c r="I45" t="s">
        <v>98</v>
      </c>
      <c r="K45">
        <v>23</v>
      </c>
      <c r="L45" t="s">
        <v>33</v>
      </c>
      <c r="M45" t="s">
        <v>26</v>
      </c>
    </row>
    <row r="46" spans="1:13" x14ac:dyDescent="0.3">
      <c r="A46" t="s">
        <v>119</v>
      </c>
      <c r="B46" s="4">
        <v>45349</v>
      </c>
      <c r="C46" s="6">
        <v>0.12013888888888889</v>
      </c>
      <c r="D46" t="s">
        <v>120</v>
      </c>
      <c r="E46" t="s">
        <v>69</v>
      </c>
      <c r="F46">
        <v>12</v>
      </c>
      <c r="G46" t="s">
        <v>22</v>
      </c>
      <c r="H46" t="s">
        <v>23</v>
      </c>
      <c r="I46" t="s">
        <v>98</v>
      </c>
      <c r="K46">
        <v>44</v>
      </c>
      <c r="L46" t="s">
        <v>39</v>
      </c>
      <c r="M46" t="s">
        <v>30</v>
      </c>
    </row>
    <row r="47" spans="1:13" x14ac:dyDescent="0.3">
      <c r="A47" t="s">
        <v>121</v>
      </c>
      <c r="B47" s="4">
        <v>45349</v>
      </c>
      <c r="C47" s="6">
        <v>0.7104166666666667</v>
      </c>
      <c r="D47" t="s">
        <v>122</v>
      </c>
      <c r="E47" t="s">
        <v>21</v>
      </c>
      <c r="F47">
        <v>10</v>
      </c>
      <c r="G47" t="s">
        <v>22</v>
      </c>
      <c r="H47" t="s">
        <v>23</v>
      </c>
      <c r="I47" t="s">
        <v>98</v>
      </c>
      <c r="K47">
        <v>17</v>
      </c>
      <c r="L47" t="s">
        <v>48</v>
      </c>
      <c r="M47" t="s">
        <v>26</v>
      </c>
    </row>
    <row r="48" spans="1:13" x14ac:dyDescent="0.3">
      <c r="A48" t="s">
        <v>123</v>
      </c>
      <c r="B48" s="4">
        <v>45338</v>
      </c>
      <c r="C48" s="6">
        <v>0.65138888888888891</v>
      </c>
      <c r="D48" t="s">
        <v>124</v>
      </c>
      <c r="E48" t="s">
        <v>21</v>
      </c>
      <c r="F48">
        <v>12</v>
      </c>
      <c r="G48" t="s">
        <v>22</v>
      </c>
      <c r="H48" t="s">
        <v>23</v>
      </c>
      <c r="I48" t="s">
        <v>98</v>
      </c>
      <c r="K48">
        <v>40</v>
      </c>
      <c r="L48" t="s">
        <v>39</v>
      </c>
      <c r="M48" t="s">
        <v>30</v>
      </c>
    </row>
    <row r="49" spans="1:13" x14ac:dyDescent="0.3">
      <c r="A49" t="s">
        <v>125</v>
      </c>
      <c r="B49" s="4">
        <v>45346</v>
      </c>
      <c r="C49" s="6">
        <v>0.90972222222222221</v>
      </c>
      <c r="D49" t="s">
        <v>126</v>
      </c>
      <c r="E49" t="s">
        <v>21</v>
      </c>
      <c r="F49">
        <v>53</v>
      </c>
      <c r="G49" t="s">
        <v>22</v>
      </c>
      <c r="H49" t="s">
        <v>23</v>
      </c>
      <c r="I49" t="s">
        <v>98</v>
      </c>
      <c r="K49">
        <v>27</v>
      </c>
      <c r="L49" t="s">
        <v>33</v>
      </c>
      <c r="M49" t="s">
        <v>26</v>
      </c>
    </row>
    <row r="50" spans="1:13" x14ac:dyDescent="0.3">
      <c r="A50" t="s">
        <v>127</v>
      </c>
      <c r="B50" s="4">
        <v>45345</v>
      </c>
      <c r="C50" s="6">
        <v>0.68680555555555556</v>
      </c>
      <c r="D50" t="s">
        <v>128</v>
      </c>
      <c r="E50" t="s">
        <v>21</v>
      </c>
      <c r="F50">
        <v>10</v>
      </c>
      <c r="G50" t="s">
        <v>22</v>
      </c>
      <c r="H50" t="s">
        <v>23</v>
      </c>
      <c r="I50" t="s">
        <v>98</v>
      </c>
      <c r="K50">
        <v>55</v>
      </c>
      <c r="L50" t="s">
        <v>48</v>
      </c>
      <c r="M50" t="s">
        <v>30</v>
      </c>
    </row>
    <row r="51" spans="1:13" x14ac:dyDescent="0.3">
      <c r="A51" t="s">
        <v>129</v>
      </c>
      <c r="B51" s="4">
        <v>45347</v>
      </c>
      <c r="C51" s="6">
        <v>0.4548611111111111</v>
      </c>
      <c r="D51" t="s">
        <v>130</v>
      </c>
      <c r="E51" t="s">
        <v>21</v>
      </c>
      <c r="F51">
        <v>31</v>
      </c>
      <c r="G51" t="s">
        <v>22</v>
      </c>
      <c r="H51" t="s">
        <v>23</v>
      </c>
      <c r="I51" t="s">
        <v>98</v>
      </c>
      <c r="K51">
        <v>38</v>
      </c>
      <c r="L51" t="s">
        <v>36</v>
      </c>
      <c r="M51" t="s">
        <v>30</v>
      </c>
    </row>
    <row r="52" spans="1:13" x14ac:dyDescent="0.3">
      <c r="A52" t="s">
        <v>131</v>
      </c>
      <c r="B52" s="4">
        <v>45336</v>
      </c>
      <c r="C52" s="6">
        <v>6.9444444444444448E-2</v>
      </c>
      <c r="D52" t="s">
        <v>132</v>
      </c>
      <c r="E52" t="s">
        <v>21</v>
      </c>
      <c r="F52">
        <v>42</v>
      </c>
      <c r="G52" t="s">
        <v>22</v>
      </c>
      <c r="H52" t="s">
        <v>23</v>
      </c>
      <c r="I52" t="s">
        <v>98</v>
      </c>
      <c r="K52">
        <v>27</v>
      </c>
      <c r="L52" t="s">
        <v>56</v>
      </c>
      <c r="M52" t="s">
        <v>26</v>
      </c>
    </row>
    <row r="53" spans="1:13" x14ac:dyDescent="0.3">
      <c r="A53" t="s">
        <v>133</v>
      </c>
      <c r="B53" s="4">
        <v>45323</v>
      </c>
      <c r="C53" s="6">
        <v>0.34236111111111112</v>
      </c>
      <c r="D53" t="s">
        <v>134</v>
      </c>
      <c r="E53" t="s">
        <v>21</v>
      </c>
      <c r="F53">
        <v>19</v>
      </c>
      <c r="G53" t="s">
        <v>135</v>
      </c>
      <c r="H53" t="s">
        <v>23</v>
      </c>
      <c r="I53" t="s">
        <v>98</v>
      </c>
      <c r="K53">
        <v>38</v>
      </c>
      <c r="L53" t="s">
        <v>39</v>
      </c>
      <c r="M53" t="s">
        <v>30</v>
      </c>
    </row>
    <row r="54" spans="1:13" x14ac:dyDescent="0.3">
      <c r="A54" t="s">
        <v>136</v>
      </c>
      <c r="B54" s="4">
        <v>45347</v>
      </c>
      <c r="C54" s="6">
        <v>0.83472222222222225</v>
      </c>
      <c r="D54" t="s">
        <v>137</v>
      </c>
      <c r="E54" t="s">
        <v>21</v>
      </c>
      <c r="F54">
        <v>12</v>
      </c>
      <c r="G54" t="s">
        <v>135</v>
      </c>
      <c r="H54" t="s">
        <v>23</v>
      </c>
      <c r="I54" t="s">
        <v>98</v>
      </c>
      <c r="K54">
        <v>22</v>
      </c>
      <c r="L54" t="s">
        <v>39</v>
      </c>
      <c r="M54" t="s">
        <v>26</v>
      </c>
    </row>
    <row r="55" spans="1:13" x14ac:dyDescent="0.3">
      <c r="A55" t="s">
        <v>138</v>
      </c>
      <c r="B55" s="4">
        <v>45331</v>
      </c>
      <c r="C55" s="6">
        <v>4.1666666666666664E-2</v>
      </c>
      <c r="D55" t="s">
        <v>139</v>
      </c>
      <c r="E55" t="s">
        <v>21</v>
      </c>
      <c r="F55">
        <v>47</v>
      </c>
      <c r="G55" t="s">
        <v>135</v>
      </c>
      <c r="H55" t="s">
        <v>23</v>
      </c>
      <c r="I55" t="s">
        <v>98</v>
      </c>
      <c r="K55">
        <v>56</v>
      </c>
      <c r="L55" t="s">
        <v>56</v>
      </c>
      <c r="M55" t="s">
        <v>30</v>
      </c>
    </row>
    <row r="56" spans="1:13" x14ac:dyDescent="0.3">
      <c r="A56" t="s">
        <v>140</v>
      </c>
      <c r="B56" s="4">
        <v>45347</v>
      </c>
      <c r="C56" s="6">
        <v>0.18541666666666667</v>
      </c>
      <c r="D56" t="s">
        <v>141</v>
      </c>
      <c r="E56" t="s">
        <v>21</v>
      </c>
      <c r="F56">
        <v>65</v>
      </c>
      <c r="G56" t="s">
        <v>135</v>
      </c>
      <c r="H56" t="s">
        <v>23</v>
      </c>
      <c r="I56" t="s">
        <v>98</v>
      </c>
      <c r="K56">
        <v>54</v>
      </c>
      <c r="L56" t="s">
        <v>53</v>
      </c>
      <c r="M56" t="s">
        <v>30</v>
      </c>
    </row>
    <row r="57" spans="1:13" x14ac:dyDescent="0.3">
      <c r="A57" t="s">
        <v>142</v>
      </c>
      <c r="B57" s="4">
        <v>45330</v>
      </c>
      <c r="C57" s="6">
        <v>0.69722222222222219</v>
      </c>
      <c r="D57" t="s">
        <v>143</v>
      </c>
      <c r="E57" t="s">
        <v>21</v>
      </c>
      <c r="F57">
        <v>66</v>
      </c>
      <c r="G57" t="s">
        <v>135</v>
      </c>
      <c r="H57" t="s">
        <v>23</v>
      </c>
      <c r="I57" t="s">
        <v>98</v>
      </c>
      <c r="K57">
        <v>15</v>
      </c>
      <c r="L57" t="s">
        <v>53</v>
      </c>
      <c r="M57" t="s">
        <v>26</v>
      </c>
    </row>
    <row r="58" spans="1:13" x14ac:dyDescent="0.3">
      <c r="A58" t="s">
        <v>144</v>
      </c>
      <c r="B58" s="4">
        <v>45336</v>
      </c>
      <c r="C58" s="6">
        <v>0.40138888888888891</v>
      </c>
      <c r="D58" t="s">
        <v>145</v>
      </c>
      <c r="E58" t="s">
        <v>21</v>
      </c>
      <c r="F58">
        <v>50</v>
      </c>
      <c r="G58" t="s">
        <v>135</v>
      </c>
      <c r="H58" t="s">
        <v>23</v>
      </c>
      <c r="I58" t="s">
        <v>98</v>
      </c>
      <c r="K58">
        <v>34</v>
      </c>
      <c r="L58" t="s">
        <v>56</v>
      </c>
      <c r="M58" t="s">
        <v>30</v>
      </c>
    </row>
    <row r="59" spans="1:13" x14ac:dyDescent="0.3">
      <c r="A59" t="s">
        <v>146</v>
      </c>
      <c r="B59" s="4">
        <v>45342</v>
      </c>
      <c r="C59" s="6">
        <v>0.23125000000000001</v>
      </c>
      <c r="D59" t="s">
        <v>147</v>
      </c>
      <c r="E59" t="s">
        <v>21</v>
      </c>
      <c r="F59">
        <v>66</v>
      </c>
      <c r="G59" t="s">
        <v>135</v>
      </c>
      <c r="H59" t="s">
        <v>23</v>
      </c>
      <c r="I59" t="s">
        <v>98</v>
      </c>
      <c r="K59">
        <v>20</v>
      </c>
      <c r="L59" t="s">
        <v>53</v>
      </c>
      <c r="M59" t="s">
        <v>26</v>
      </c>
    </row>
    <row r="60" spans="1:13" x14ac:dyDescent="0.3">
      <c r="A60" t="s">
        <v>148</v>
      </c>
      <c r="B60" s="4">
        <v>45327</v>
      </c>
      <c r="C60" s="6">
        <v>0.16458333333333333</v>
      </c>
      <c r="D60" t="s">
        <v>149</v>
      </c>
      <c r="E60" t="s">
        <v>21</v>
      </c>
      <c r="F60">
        <v>46</v>
      </c>
      <c r="G60" t="s">
        <v>135</v>
      </c>
      <c r="H60" t="s">
        <v>23</v>
      </c>
      <c r="I60" t="s">
        <v>98</v>
      </c>
      <c r="K60">
        <v>36</v>
      </c>
      <c r="L60" t="s">
        <v>56</v>
      </c>
      <c r="M60" t="s">
        <v>30</v>
      </c>
    </row>
    <row r="61" spans="1:13" x14ac:dyDescent="0.3">
      <c r="A61" t="s">
        <v>150</v>
      </c>
      <c r="B61" s="4">
        <v>45338</v>
      </c>
      <c r="C61" s="6">
        <v>0.95902777777777781</v>
      </c>
      <c r="D61" t="s">
        <v>151</v>
      </c>
      <c r="E61" t="s">
        <v>21</v>
      </c>
      <c r="F61">
        <v>68</v>
      </c>
      <c r="G61" t="s">
        <v>135</v>
      </c>
      <c r="H61" t="s">
        <v>23</v>
      </c>
      <c r="I61" t="s">
        <v>98</v>
      </c>
      <c r="K61">
        <v>19</v>
      </c>
      <c r="L61" t="s">
        <v>53</v>
      </c>
      <c r="M61" t="s">
        <v>26</v>
      </c>
    </row>
    <row r="62" spans="1:13" x14ac:dyDescent="0.3">
      <c r="A62" t="s">
        <v>152</v>
      </c>
      <c r="B62" s="4">
        <v>45343</v>
      </c>
      <c r="C62" s="6">
        <v>0.75902777777777775</v>
      </c>
      <c r="D62" t="s">
        <v>153</v>
      </c>
      <c r="E62" t="s">
        <v>21</v>
      </c>
      <c r="F62">
        <v>34</v>
      </c>
      <c r="G62" t="s">
        <v>135</v>
      </c>
      <c r="H62" t="s">
        <v>23</v>
      </c>
      <c r="I62" t="s">
        <v>98</v>
      </c>
      <c r="K62">
        <v>39</v>
      </c>
      <c r="L62" t="s">
        <v>36</v>
      </c>
      <c r="M62" t="s">
        <v>30</v>
      </c>
    </row>
    <row r="63" spans="1:13" x14ac:dyDescent="0.3">
      <c r="A63" t="s">
        <v>154</v>
      </c>
      <c r="B63" s="4">
        <v>45349</v>
      </c>
      <c r="C63" s="6">
        <v>0.31736111111111109</v>
      </c>
      <c r="D63" t="s">
        <v>155</v>
      </c>
      <c r="E63" t="s">
        <v>69</v>
      </c>
      <c r="F63">
        <v>55</v>
      </c>
      <c r="G63" t="s">
        <v>135</v>
      </c>
      <c r="H63" t="s">
        <v>23</v>
      </c>
      <c r="I63" t="s">
        <v>98</v>
      </c>
      <c r="K63">
        <v>25</v>
      </c>
      <c r="L63" t="s">
        <v>33</v>
      </c>
      <c r="M63" t="s">
        <v>26</v>
      </c>
    </row>
    <row r="64" spans="1:13" x14ac:dyDescent="0.3">
      <c r="A64" t="s">
        <v>156</v>
      </c>
      <c r="B64" s="4">
        <v>45347</v>
      </c>
      <c r="C64" s="6">
        <v>4.3749999999999997E-2</v>
      </c>
      <c r="D64" t="s">
        <v>157</v>
      </c>
      <c r="E64" t="s">
        <v>69</v>
      </c>
      <c r="F64">
        <v>47</v>
      </c>
      <c r="G64" t="s">
        <v>135</v>
      </c>
      <c r="H64" t="s">
        <v>23</v>
      </c>
      <c r="I64" t="s">
        <v>98</v>
      </c>
      <c r="K64">
        <v>14</v>
      </c>
      <c r="L64" t="s">
        <v>56</v>
      </c>
      <c r="M64" t="s">
        <v>26</v>
      </c>
    </row>
    <row r="65" spans="1:13" x14ac:dyDescent="0.3">
      <c r="A65" t="s">
        <v>158</v>
      </c>
      <c r="B65" s="4">
        <v>45331</v>
      </c>
      <c r="C65" s="6">
        <v>0.41041666666666665</v>
      </c>
      <c r="D65" t="s">
        <v>159</v>
      </c>
      <c r="E65" t="s">
        <v>69</v>
      </c>
      <c r="F65">
        <v>48</v>
      </c>
      <c r="G65" t="s">
        <v>135</v>
      </c>
      <c r="H65" t="s">
        <v>23</v>
      </c>
      <c r="I65" t="s">
        <v>98</v>
      </c>
      <c r="K65">
        <v>14</v>
      </c>
      <c r="L65" t="s">
        <v>56</v>
      </c>
      <c r="M65" t="s">
        <v>26</v>
      </c>
    </row>
    <row r="66" spans="1:13" x14ac:dyDescent="0.3">
      <c r="A66" t="s">
        <v>160</v>
      </c>
      <c r="B66" s="4">
        <v>45327</v>
      </c>
      <c r="C66" s="6">
        <v>0.34791666666666665</v>
      </c>
      <c r="D66" t="s">
        <v>161</v>
      </c>
      <c r="E66" t="s">
        <v>69</v>
      </c>
      <c r="F66">
        <v>1</v>
      </c>
      <c r="G66" t="s">
        <v>135</v>
      </c>
      <c r="H66" t="s">
        <v>23</v>
      </c>
      <c r="I66" t="s">
        <v>98</v>
      </c>
      <c r="K66">
        <v>56</v>
      </c>
      <c r="L66" t="s">
        <v>48</v>
      </c>
      <c r="M66" t="s">
        <v>30</v>
      </c>
    </row>
    <row r="67" spans="1:13" x14ac:dyDescent="0.3">
      <c r="A67" t="s">
        <v>162</v>
      </c>
      <c r="B67" s="4">
        <v>45333</v>
      </c>
      <c r="C67" s="6">
        <v>0.51458333333333328</v>
      </c>
      <c r="D67" t="s">
        <v>163</v>
      </c>
      <c r="E67" t="s">
        <v>69</v>
      </c>
      <c r="F67">
        <v>30</v>
      </c>
      <c r="G67" t="s">
        <v>135</v>
      </c>
      <c r="H67" t="s">
        <v>23</v>
      </c>
      <c r="I67" t="s">
        <v>98</v>
      </c>
      <c r="K67">
        <v>19</v>
      </c>
      <c r="L67" t="s">
        <v>25</v>
      </c>
      <c r="M67" t="s">
        <v>26</v>
      </c>
    </row>
    <row r="68" spans="1:13" x14ac:dyDescent="0.3">
      <c r="A68" t="s">
        <v>164</v>
      </c>
      <c r="B68" s="4">
        <v>45347</v>
      </c>
      <c r="C68" s="6">
        <v>0.31111111111111112</v>
      </c>
      <c r="D68" t="s">
        <v>165</v>
      </c>
      <c r="E68" t="s">
        <v>69</v>
      </c>
      <c r="F68">
        <v>45</v>
      </c>
      <c r="G68" t="s">
        <v>135</v>
      </c>
      <c r="H68" t="s">
        <v>23</v>
      </c>
      <c r="I68" t="s">
        <v>24</v>
      </c>
      <c r="K68">
        <v>37</v>
      </c>
      <c r="L68" t="s">
        <v>56</v>
      </c>
      <c r="M68" t="s">
        <v>30</v>
      </c>
    </row>
    <row r="69" spans="1:13" x14ac:dyDescent="0.3">
      <c r="A69" t="s">
        <v>166</v>
      </c>
      <c r="B69" s="4">
        <v>45327</v>
      </c>
      <c r="C69" s="6">
        <v>0.80694444444444446</v>
      </c>
      <c r="D69" t="s">
        <v>167</v>
      </c>
      <c r="E69" t="s">
        <v>69</v>
      </c>
      <c r="F69">
        <v>8</v>
      </c>
      <c r="G69" t="s">
        <v>135</v>
      </c>
      <c r="H69" t="s">
        <v>23</v>
      </c>
      <c r="I69" t="s">
        <v>24</v>
      </c>
      <c r="K69">
        <v>32</v>
      </c>
      <c r="L69" t="s">
        <v>48</v>
      </c>
      <c r="M69" t="s">
        <v>30</v>
      </c>
    </row>
    <row r="70" spans="1:13" x14ac:dyDescent="0.3">
      <c r="A70" t="s">
        <v>168</v>
      </c>
      <c r="B70" s="4">
        <v>45338</v>
      </c>
      <c r="C70" s="6">
        <v>0.55486111111111114</v>
      </c>
      <c r="D70" t="s">
        <v>169</v>
      </c>
      <c r="E70" t="s">
        <v>69</v>
      </c>
      <c r="F70">
        <v>72</v>
      </c>
      <c r="G70" t="s">
        <v>135</v>
      </c>
      <c r="H70" t="s">
        <v>23</v>
      </c>
      <c r="I70" t="s">
        <v>24</v>
      </c>
      <c r="K70">
        <v>46</v>
      </c>
      <c r="L70" t="s">
        <v>29</v>
      </c>
      <c r="M70" t="s">
        <v>30</v>
      </c>
    </row>
    <row r="71" spans="1:13" x14ac:dyDescent="0.3">
      <c r="A71" t="s">
        <v>170</v>
      </c>
      <c r="B71" s="4">
        <v>45348</v>
      </c>
      <c r="C71" s="6">
        <v>0.39861111111111114</v>
      </c>
      <c r="D71" t="s">
        <v>171</v>
      </c>
      <c r="E71" t="s">
        <v>69</v>
      </c>
      <c r="F71">
        <v>65</v>
      </c>
      <c r="G71" t="s">
        <v>135</v>
      </c>
      <c r="H71" t="s">
        <v>23</v>
      </c>
      <c r="I71" t="s">
        <v>24</v>
      </c>
      <c r="K71">
        <v>40</v>
      </c>
      <c r="L71" t="s">
        <v>53</v>
      </c>
      <c r="M71" t="s">
        <v>30</v>
      </c>
    </row>
    <row r="72" spans="1:13" x14ac:dyDescent="0.3">
      <c r="A72" t="s">
        <v>172</v>
      </c>
      <c r="B72" s="4">
        <v>45326</v>
      </c>
      <c r="C72" s="6">
        <v>0.37708333333333333</v>
      </c>
      <c r="D72" t="s">
        <v>173</v>
      </c>
      <c r="E72" t="s">
        <v>69</v>
      </c>
      <c r="F72">
        <v>68</v>
      </c>
      <c r="G72" t="s">
        <v>135</v>
      </c>
      <c r="H72" t="s">
        <v>23</v>
      </c>
      <c r="I72" t="s">
        <v>24</v>
      </c>
      <c r="K72">
        <v>21</v>
      </c>
      <c r="L72" t="s">
        <v>53</v>
      </c>
      <c r="M72" t="s">
        <v>26</v>
      </c>
    </row>
    <row r="73" spans="1:13" x14ac:dyDescent="0.3">
      <c r="A73" t="s">
        <v>174</v>
      </c>
      <c r="B73" s="4">
        <v>45345</v>
      </c>
      <c r="C73" s="6">
        <v>0.67152777777777772</v>
      </c>
      <c r="D73" t="s">
        <v>175</v>
      </c>
      <c r="E73" t="s">
        <v>69</v>
      </c>
      <c r="F73">
        <v>9</v>
      </c>
      <c r="G73" t="s">
        <v>135</v>
      </c>
      <c r="H73" t="s">
        <v>23</v>
      </c>
      <c r="I73" t="s">
        <v>24</v>
      </c>
      <c r="K73">
        <v>48</v>
      </c>
      <c r="L73" t="s">
        <v>48</v>
      </c>
      <c r="M73" t="s">
        <v>30</v>
      </c>
    </row>
    <row r="74" spans="1:13" x14ac:dyDescent="0.3">
      <c r="A74" t="s">
        <v>176</v>
      </c>
      <c r="B74" s="4">
        <v>45326</v>
      </c>
      <c r="C74" s="6">
        <v>0.88680555555555551</v>
      </c>
      <c r="D74" t="s">
        <v>177</v>
      </c>
      <c r="E74" t="s">
        <v>69</v>
      </c>
      <c r="F74">
        <v>34</v>
      </c>
      <c r="G74" t="s">
        <v>135</v>
      </c>
      <c r="H74" t="s">
        <v>23</v>
      </c>
      <c r="I74" t="s">
        <v>24</v>
      </c>
      <c r="K74">
        <v>45</v>
      </c>
      <c r="L74" t="s">
        <v>36</v>
      </c>
      <c r="M74" t="s">
        <v>30</v>
      </c>
    </row>
    <row r="75" spans="1:13" x14ac:dyDescent="0.3">
      <c r="A75" t="s">
        <v>178</v>
      </c>
      <c r="B75" s="4">
        <v>45344</v>
      </c>
      <c r="C75" s="6">
        <v>0.57708333333333328</v>
      </c>
      <c r="D75" t="s">
        <v>179</v>
      </c>
      <c r="E75" t="s">
        <v>69</v>
      </c>
      <c r="F75">
        <v>13</v>
      </c>
      <c r="G75" t="s">
        <v>135</v>
      </c>
      <c r="H75" t="s">
        <v>23</v>
      </c>
      <c r="I75" t="s">
        <v>24</v>
      </c>
      <c r="K75">
        <v>45</v>
      </c>
      <c r="L75" t="s">
        <v>39</v>
      </c>
      <c r="M75" t="s">
        <v>30</v>
      </c>
    </row>
    <row r="76" spans="1:13" x14ac:dyDescent="0.3">
      <c r="A76" t="s">
        <v>180</v>
      </c>
      <c r="B76" s="4">
        <v>45333</v>
      </c>
      <c r="C76" s="6">
        <v>0.83263888888888893</v>
      </c>
      <c r="D76" t="s">
        <v>181</v>
      </c>
      <c r="E76" t="s">
        <v>69</v>
      </c>
      <c r="F76">
        <v>8</v>
      </c>
      <c r="G76" t="s">
        <v>135</v>
      </c>
      <c r="H76" t="s">
        <v>23</v>
      </c>
      <c r="I76" t="s">
        <v>24</v>
      </c>
      <c r="K76">
        <v>47</v>
      </c>
      <c r="L76" t="s">
        <v>48</v>
      </c>
      <c r="M76" t="s">
        <v>30</v>
      </c>
    </row>
    <row r="77" spans="1:13" x14ac:dyDescent="0.3">
      <c r="A77" t="s">
        <v>182</v>
      </c>
      <c r="B77" s="4">
        <v>45344</v>
      </c>
      <c r="C77" s="6">
        <v>0.69444444444444442</v>
      </c>
      <c r="D77" t="s">
        <v>183</v>
      </c>
      <c r="E77" t="s">
        <v>69</v>
      </c>
      <c r="F77">
        <v>45</v>
      </c>
      <c r="G77" t="s">
        <v>135</v>
      </c>
      <c r="H77" t="s">
        <v>23</v>
      </c>
      <c r="I77" t="s">
        <v>24</v>
      </c>
      <c r="K77">
        <v>21</v>
      </c>
      <c r="L77" t="s">
        <v>56</v>
      </c>
      <c r="M77" t="s">
        <v>26</v>
      </c>
    </row>
    <row r="78" spans="1:13" x14ac:dyDescent="0.3">
      <c r="A78" t="s">
        <v>184</v>
      </c>
      <c r="B78" s="4">
        <v>45343</v>
      </c>
      <c r="C78" s="6">
        <v>0.31111111111111112</v>
      </c>
      <c r="D78" t="s">
        <v>185</v>
      </c>
      <c r="E78" t="s">
        <v>21</v>
      </c>
      <c r="F78">
        <v>59</v>
      </c>
      <c r="G78" t="s">
        <v>135</v>
      </c>
      <c r="H78" t="s">
        <v>23</v>
      </c>
      <c r="I78" t="s">
        <v>24</v>
      </c>
      <c r="K78">
        <v>50</v>
      </c>
      <c r="L78" t="s">
        <v>33</v>
      </c>
      <c r="M78" t="s">
        <v>30</v>
      </c>
    </row>
    <row r="79" spans="1:13" x14ac:dyDescent="0.3">
      <c r="A79" t="s">
        <v>186</v>
      </c>
      <c r="B79" s="4">
        <v>45326</v>
      </c>
      <c r="C79" s="6">
        <v>0.83333333333333337</v>
      </c>
      <c r="D79" t="s">
        <v>187</v>
      </c>
      <c r="E79" t="s">
        <v>21</v>
      </c>
      <c r="F79">
        <v>14</v>
      </c>
      <c r="G79" t="s">
        <v>135</v>
      </c>
      <c r="H79" t="s">
        <v>23</v>
      </c>
      <c r="I79" t="s">
        <v>24</v>
      </c>
      <c r="K79">
        <v>34</v>
      </c>
      <c r="L79" t="s">
        <v>39</v>
      </c>
      <c r="M79" t="s">
        <v>30</v>
      </c>
    </row>
    <row r="80" spans="1:13" x14ac:dyDescent="0.3">
      <c r="A80" t="s">
        <v>188</v>
      </c>
      <c r="B80" s="4">
        <v>45340</v>
      </c>
      <c r="C80" s="6">
        <v>0.95625000000000004</v>
      </c>
      <c r="D80" t="s">
        <v>189</v>
      </c>
      <c r="E80" t="s">
        <v>21</v>
      </c>
      <c r="F80">
        <v>70</v>
      </c>
      <c r="G80" t="s">
        <v>135</v>
      </c>
      <c r="H80" t="s">
        <v>23</v>
      </c>
      <c r="I80" t="s">
        <v>24</v>
      </c>
      <c r="K80">
        <v>57</v>
      </c>
      <c r="L80" t="s">
        <v>53</v>
      </c>
      <c r="M80" t="s">
        <v>30</v>
      </c>
    </row>
    <row r="81" spans="1:13" x14ac:dyDescent="0.3">
      <c r="A81" t="s">
        <v>190</v>
      </c>
      <c r="B81" s="4">
        <v>45337</v>
      </c>
      <c r="C81" s="6">
        <v>0.12916666666666668</v>
      </c>
      <c r="D81" t="s">
        <v>191</v>
      </c>
      <c r="E81" t="s">
        <v>21</v>
      </c>
      <c r="F81">
        <v>66</v>
      </c>
      <c r="G81" t="s">
        <v>135</v>
      </c>
      <c r="H81" t="s">
        <v>23</v>
      </c>
      <c r="I81" t="s">
        <v>24</v>
      </c>
      <c r="K81">
        <v>18</v>
      </c>
      <c r="L81" t="s">
        <v>53</v>
      </c>
      <c r="M81" t="s">
        <v>26</v>
      </c>
    </row>
    <row r="82" spans="1:13" x14ac:dyDescent="0.3">
      <c r="A82" t="s">
        <v>192</v>
      </c>
      <c r="B82" s="4">
        <v>45343</v>
      </c>
      <c r="C82" s="6">
        <v>0.57499999999999996</v>
      </c>
      <c r="D82" t="s">
        <v>193</v>
      </c>
      <c r="E82" t="s">
        <v>21</v>
      </c>
      <c r="F82">
        <v>25</v>
      </c>
      <c r="G82" t="s">
        <v>135</v>
      </c>
      <c r="H82" t="s">
        <v>23</v>
      </c>
      <c r="I82" t="s">
        <v>24</v>
      </c>
      <c r="K82">
        <v>36</v>
      </c>
      <c r="L82" t="s">
        <v>25</v>
      </c>
      <c r="M82" t="s">
        <v>30</v>
      </c>
    </row>
    <row r="83" spans="1:13" x14ac:dyDescent="0.3">
      <c r="A83" t="s">
        <v>194</v>
      </c>
      <c r="B83" s="4">
        <v>45337</v>
      </c>
      <c r="C83" s="6">
        <v>0.57916666666666672</v>
      </c>
      <c r="D83" t="s">
        <v>195</v>
      </c>
      <c r="E83" t="s">
        <v>21</v>
      </c>
      <c r="F83">
        <v>35</v>
      </c>
      <c r="G83" t="s">
        <v>135</v>
      </c>
      <c r="H83" t="s">
        <v>23</v>
      </c>
      <c r="I83" t="s">
        <v>24</v>
      </c>
      <c r="K83">
        <v>55</v>
      </c>
      <c r="L83" t="s">
        <v>36</v>
      </c>
      <c r="M83" t="s">
        <v>30</v>
      </c>
    </row>
    <row r="84" spans="1:13" x14ac:dyDescent="0.3">
      <c r="A84" t="s">
        <v>196</v>
      </c>
      <c r="B84" s="4">
        <v>45347</v>
      </c>
      <c r="C84" s="6">
        <v>0.43125000000000002</v>
      </c>
      <c r="D84" t="s">
        <v>197</v>
      </c>
      <c r="E84" t="s">
        <v>21</v>
      </c>
      <c r="F84">
        <v>53</v>
      </c>
      <c r="G84" t="s">
        <v>135</v>
      </c>
      <c r="H84" t="s">
        <v>23</v>
      </c>
      <c r="I84" t="s">
        <v>24</v>
      </c>
      <c r="K84">
        <v>16</v>
      </c>
      <c r="L84" t="s">
        <v>33</v>
      </c>
      <c r="M84" t="s">
        <v>26</v>
      </c>
    </row>
    <row r="85" spans="1:13" x14ac:dyDescent="0.3">
      <c r="A85" t="s">
        <v>198</v>
      </c>
      <c r="B85" s="4">
        <v>45335</v>
      </c>
      <c r="C85" s="6">
        <v>0.52083333333333337</v>
      </c>
      <c r="D85" t="s">
        <v>199</v>
      </c>
      <c r="E85" t="s">
        <v>21</v>
      </c>
      <c r="F85">
        <v>70</v>
      </c>
      <c r="G85" t="s">
        <v>135</v>
      </c>
      <c r="H85" t="s">
        <v>23</v>
      </c>
      <c r="I85" t="s">
        <v>24</v>
      </c>
      <c r="K85">
        <v>52</v>
      </c>
      <c r="L85" t="s">
        <v>53</v>
      </c>
      <c r="M85" t="s">
        <v>30</v>
      </c>
    </row>
    <row r="86" spans="1:13" x14ac:dyDescent="0.3">
      <c r="A86" t="s">
        <v>200</v>
      </c>
      <c r="B86" s="4">
        <v>45334</v>
      </c>
      <c r="C86" s="6">
        <v>3.0555555555555555E-2</v>
      </c>
      <c r="D86" t="s">
        <v>201</v>
      </c>
      <c r="E86" t="s">
        <v>21</v>
      </c>
      <c r="F86">
        <v>38</v>
      </c>
      <c r="G86" t="s">
        <v>135</v>
      </c>
      <c r="H86" t="s">
        <v>23</v>
      </c>
      <c r="I86" t="s">
        <v>24</v>
      </c>
      <c r="K86">
        <v>21</v>
      </c>
      <c r="L86" t="s">
        <v>36</v>
      </c>
      <c r="M86" t="s">
        <v>26</v>
      </c>
    </row>
    <row r="87" spans="1:13" x14ac:dyDescent="0.3">
      <c r="A87" t="s">
        <v>202</v>
      </c>
      <c r="B87" s="4">
        <v>45329</v>
      </c>
      <c r="C87" s="6">
        <v>6.0416666666666667E-2</v>
      </c>
      <c r="D87" t="s">
        <v>203</v>
      </c>
      <c r="E87" t="s">
        <v>21</v>
      </c>
      <c r="F87">
        <v>76</v>
      </c>
      <c r="G87" t="s">
        <v>135</v>
      </c>
      <c r="H87" t="s">
        <v>23</v>
      </c>
      <c r="I87" t="s">
        <v>24</v>
      </c>
      <c r="K87">
        <v>40</v>
      </c>
      <c r="L87" t="s">
        <v>29</v>
      </c>
      <c r="M87" t="s">
        <v>30</v>
      </c>
    </row>
    <row r="88" spans="1:13" x14ac:dyDescent="0.3">
      <c r="A88" t="s">
        <v>204</v>
      </c>
      <c r="B88" s="4">
        <v>45339</v>
      </c>
      <c r="C88" s="6">
        <v>0.24722222222222223</v>
      </c>
      <c r="D88" t="s">
        <v>205</v>
      </c>
      <c r="E88" t="s">
        <v>21</v>
      </c>
      <c r="F88">
        <v>35</v>
      </c>
      <c r="G88" t="s">
        <v>135</v>
      </c>
      <c r="H88" t="s">
        <v>23</v>
      </c>
      <c r="I88" t="s">
        <v>24</v>
      </c>
      <c r="K88">
        <v>45</v>
      </c>
      <c r="L88" t="s">
        <v>36</v>
      </c>
      <c r="M88" t="s">
        <v>30</v>
      </c>
    </row>
    <row r="89" spans="1:13" x14ac:dyDescent="0.3">
      <c r="A89" t="s">
        <v>206</v>
      </c>
      <c r="B89" s="4">
        <v>45341</v>
      </c>
      <c r="C89" s="6">
        <v>0.22083333333333333</v>
      </c>
      <c r="D89" t="s">
        <v>207</v>
      </c>
      <c r="E89" t="s">
        <v>21</v>
      </c>
      <c r="F89">
        <v>14</v>
      </c>
      <c r="G89" t="s">
        <v>135</v>
      </c>
      <c r="H89" t="s">
        <v>23</v>
      </c>
      <c r="I89" t="s">
        <v>24</v>
      </c>
      <c r="K89">
        <v>34</v>
      </c>
      <c r="L89" t="s">
        <v>39</v>
      </c>
      <c r="M89" t="s">
        <v>30</v>
      </c>
    </row>
    <row r="90" spans="1:13" x14ac:dyDescent="0.3">
      <c r="A90" t="s">
        <v>208</v>
      </c>
      <c r="B90" s="4">
        <v>45340</v>
      </c>
      <c r="C90" s="6">
        <v>0.6020833333333333</v>
      </c>
      <c r="D90" t="s">
        <v>209</v>
      </c>
      <c r="E90" t="s">
        <v>21</v>
      </c>
      <c r="F90">
        <v>54</v>
      </c>
      <c r="G90" t="s">
        <v>135</v>
      </c>
      <c r="H90" t="s">
        <v>23</v>
      </c>
      <c r="I90" t="s">
        <v>24</v>
      </c>
      <c r="K90">
        <v>59</v>
      </c>
      <c r="L90" t="s">
        <v>33</v>
      </c>
      <c r="M90" t="s">
        <v>30</v>
      </c>
    </row>
    <row r="91" spans="1:13" x14ac:dyDescent="0.3">
      <c r="A91" t="s">
        <v>210</v>
      </c>
      <c r="B91" s="4">
        <v>45350</v>
      </c>
      <c r="C91" s="6">
        <v>0.33124999999999999</v>
      </c>
      <c r="D91" t="s">
        <v>211</v>
      </c>
      <c r="E91" t="s">
        <v>21</v>
      </c>
      <c r="F91">
        <v>54</v>
      </c>
      <c r="G91" t="s">
        <v>135</v>
      </c>
      <c r="H91" t="s">
        <v>23</v>
      </c>
      <c r="I91" t="s">
        <v>24</v>
      </c>
      <c r="K91">
        <v>57</v>
      </c>
      <c r="L91" t="s">
        <v>33</v>
      </c>
      <c r="M91" t="s">
        <v>30</v>
      </c>
    </row>
    <row r="92" spans="1:13" x14ac:dyDescent="0.3">
      <c r="A92" t="s">
        <v>212</v>
      </c>
      <c r="B92" s="4">
        <v>45346</v>
      </c>
      <c r="C92" s="6">
        <v>0.34930555555555554</v>
      </c>
      <c r="D92" t="s">
        <v>213</v>
      </c>
      <c r="E92" t="s">
        <v>69</v>
      </c>
      <c r="F92">
        <v>56</v>
      </c>
      <c r="G92" t="s">
        <v>214</v>
      </c>
      <c r="H92" t="s">
        <v>23</v>
      </c>
      <c r="I92" t="s">
        <v>24</v>
      </c>
      <c r="K92">
        <v>54</v>
      </c>
      <c r="L92" t="s">
        <v>33</v>
      </c>
      <c r="M92" t="s">
        <v>30</v>
      </c>
    </row>
    <row r="93" spans="1:13" x14ac:dyDescent="0.3">
      <c r="A93" t="s">
        <v>215</v>
      </c>
      <c r="B93" s="4">
        <v>45347</v>
      </c>
      <c r="C93" s="6">
        <v>0.42083333333333334</v>
      </c>
      <c r="D93" t="s">
        <v>216</v>
      </c>
      <c r="E93" t="s">
        <v>69</v>
      </c>
      <c r="F93">
        <v>66</v>
      </c>
      <c r="G93" t="s">
        <v>214</v>
      </c>
      <c r="H93" t="s">
        <v>23</v>
      </c>
      <c r="I93" t="s">
        <v>24</v>
      </c>
      <c r="K93">
        <v>47</v>
      </c>
      <c r="L93" t="s">
        <v>53</v>
      </c>
      <c r="M93" t="s">
        <v>30</v>
      </c>
    </row>
    <row r="94" spans="1:13" x14ac:dyDescent="0.3">
      <c r="A94" t="s">
        <v>217</v>
      </c>
      <c r="B94" s="4">
        <v>45325</v>
      </c>
      <c r="C94" s="6">
        <v>0.70972222222222225</v>
      </c>
      <c r="D94" t="s">
        <v>218</v>
      </c>
      <c r="E94" t="s">
        <v>69</v>
      </c>
      <c r="F94">
        <v>26</v>
      </c>
      <c r="G94" t="s">
        <v>214</v>
      </c>
      <c r="H94" t="s">
        <v>23</v>
      </c>
      <c r="I94" t="s">
        <v>24</v>
      </c>
      <c r="K94">
        <v>16</v>
      </c>
      <c r="L94" t="s">
        <v>25</v>
      </c>
      <c r="M94" t="s">
        <v>26</v>
      </c>
    </row>
    <row r="95" spans="1:13" x14ac:dyDescent="0.3">
      <c r="A95" t="s">
        <v>219</v>
      </c>
      <c r="B95" s="4">
        <v>45351</v>
      </c>
      <c r="C95" s="6">
        <v>0.21041666666666667</v>
      </c>
      <c r="D95" t="s">
        <v>220</v>
      </c>
      <c r="E95" t="s">
        <v>69</v>
      </c>
      <c r="F95">
        <v>18</v>
      </c>
      <c r="G95" t="s">
        <v>214</v>
      </c>
      <c r="H95" t="s">
        <v>23</v>
      </c>
      <c r="I95" t="s">
        <v>24</v>
      </c>
      <c r="K95">
        <v>41</v>
      </c>
      <c r="L95" t="s">
        <v>39</v>
      </c>
      <c r="M95" t="s">
        <v>30</v>
      </c>
    </row>
    <row r="96" spans="1:13" x14ac:dyDescent="0.3">
      <c r="A96" t="s">
        <v>221</v>
      </c>
      <c r="B96" s="4">
        <v>45338</v>
      </c>
      <c r="C96" s="6">
        <v>0.83819444444444446</v>
      </c>
      <c r="D96" t="s">
        <v>222</v>
      </c>
      <c r="E96" t="s">
        <v>69</v>
      </c>
      <c r="F96">
        <v>28</v>
      </c>
      <c r="G96" t="s">
        <v>214</v>
      </c>
      <c r="H96" t="s">
        <v>23</v>
      </c>
      <c r="I96" t="s">
        <v>24</v>
      </c>
      <c r="K96">
        <v>19</v>
      </c>
      <c r="L96" t="s">
        <v>25</v>
      </c>
      <c r="M96" t="s">
        <v>26</v>
      </c>
    </row>
    <row r="97" spans="1:13" x14ac:dyDescent="0.3">
      <c r="A97" t="s">
        <v>223</v>
      </c>
      <c r="B97" s="4">
        <v>45335</v>
      </c>
      <c r="C97" s="6">
        <v>0.40069444444444446</v>
      </c>
      <c r="D97" t="s">
        <v>224</v>
      </c>
      <c r="E97" t="s">
        <v>69</v>
      </c>
      <c r="F97">
        <v>43</v>
      </c>
      <c r="G97" t="s">
        <v>214</v>
      </c>
      <c r="H97" t="s">
        <v>23</v>
      </c>
      <c r="I97" t="s">
        <v>24</v>
      </c>
      <c r="K97">
        <v>19</v>
      </c>
      <c r="L97" t="s">
        <v>56</v>
      </c>
      <c r="M97" t="s">
        <v>26</v>
      </c>
    </row>
    <row r="98" spans="1:13" x14ac:dyDescent="0.3">
      <c r="A98" t="s">
        <v>225</v>
      </c>
      <c r="B98" s="4">
        <v>45350</v>
      </c>
      <c r="C98" s="6">
        <v>0.86875000000000002</v>
      </c>
      <c r="D98" t="s">
        <v>226</v>
      </c>
      <c r="E98" t="s">
        <v>69</v>
      </c>
      <c r="F98">
        <v>37</v>
      </c>
      <c r="G98" t="s">
        <v>214</v>
      </c>
      <c r="H98" t="s">
        <v>23</v>
      </c>
      <c r="I98" t="s">
        <v>24</v>
      </c>
      <c r="K98">
        <v>39</v>
      </c>
      <c r="L98" t="s">
        <v>36</v>
      </c>
      <c r="M98" t="s">
        <v>30</v>
      </c>
    </row>
    <row r="99" spans="1:13" x14ac:dyDescent="0.3">
      <c r="A99" t="s">
        <v>227</v>
      </c>
      <c r="B99" s="4">
        <v>45328</v>
      </c>
      <c r="C99" s="6">
        <v>0.56597222222222221</v>
      </c>
      <c r="D99" t="s">
        <v>228</v>
      </c>
      <c r="E99" t="s">
        <v>69</v>
      </c>
      <c r="F99">
        <v>70</v>
      </c>
      <c r="G99" t="s">
        <v>214</v>
      </c>
      <c r="H99" t="s">
        <v>23</v>
      </c>
      <c r="I99" t="s">
        <v>24</v>
      </c>
      <c r="K99">
        <v>32</v>
      </c>
      <c r="L99" t="s">
        <v>53</v>
      </c>
      <c r="M99" t="s">
        <v>30</v>
      </c>
    </row>
    <row r="100" spans="1:13" x14ac:dyDescent="0.3">
      <c r="A100" t="s">
        <v>229</v>
      </c>
      <c r="B100" s="4">
        <v>45349</v>
      </c>
      <c r="C100" s="6">
        <v>0.35138888888888886</v>
      </c>
      <c r="D100" t="s">
        <v>230</v>
      </c>
      <c r="E100" t="s">
        <v>69</v>
      </c>
      <c r="F100">
        <v>45</v>
      </c>
      <c r="G100" t="s">
        <v>214</v>
      </c>
      <c r="H100" t="s">
        <v>23</v>
      </c>
      <c r="I100" t="s">
        <v>98</v>
      </c>
      <c r="K100">
        <v>36</v>
      </c>
      <c r="L100" t="s">
        <v>56</v>
      </c>
      <c r="M100" t="s">
        <v>30</v>
      </c>
    </row>
    <row r="101" spans="1:13" x14ac:dyDescent="0.3">
      <c r="A101" t="s">
        <v>231</v>
      </c>
      <c r="B101" s="4">
        <v>45329</v>
      </c>
      <c r="C101" s="6">
        <v>0.53819444444444442</v>
      </c>
      <c r="D101" t="s">
        <v>232</v>
      </c>
      <c r="E101" t="s">
        <v>69</v>
      </c>
      <c r="F101">
        <v>36</v>
      </c>
      <c r="G101" t="s">
        <v>214</v>
      </c>
      <c r="H101" t="s">
        <v>23</v>
      </c>
      <c r="I101" t="s">
        <v>98</v>
      </c>
      <c r="K101">
        <v>55</v>
      </c>
      <c r="L101" t="s">
        <v>36</v>
      </c>
      <c r="M101" t="s">
        <v>30</v>
      </c>
    </row>
    <row r="102" spans="1:13" x14ac:dyDescent="0.3">
      <c r="A102" t="s">
        <v>233</v>
      </c>
      <c r="B102" s="4">
        <v>45343</v>
      </c>
      <c r="C102" s="6">
        <v>0.74027777777777781</v>
      </c>
      <c r="D102" t="s">
        <v>234</v>
      </c>
      <c r="E102" t="s">
        <v>69</v>
      </c>
      <c r="F102">
        <v>31</v>
      </c>
      <c r="G102" t="s">
        <v>214</v>
      </c>
      <c r="H102" t="s">
        <v>23</v>
      </c>
      <c r="I102" t="s">
        <v>98</v>
      </c>
      <c r="K102">
        <v>29</v>
      </c>
      <c r="L102" t="s">
        <v>36</v>
      </c>
      <c r="M102" t="s">
        <v>26</v>
      </c>
    </row>
    <row r="103" spans="1:13" x14ac:dyDescent="0.3">
      <c r="A103" t="s">
        <v>235</v>
      </c>
      <c r="B103" s="4">
        <v>45338</v>
      </c>
      <c r="C103" s="6">
        <v>0.54791666666666672</v>
      </c>
      <c r="D103" t="s">
        <v>236</v>
      </c>
      <c r="E103" t="s">
        <v>69</v>
      </c>
      <c r="F103">
        <v>40</v>
      </c>
      <c r="G103" t="s">
        <v>214</v>
      </c>
      <c r="H103" t="s">
        <v>23</v>
      </c>
      <c r="I103" t="s">
        <v>98</v>
      </c>
      <c r="K103">
        <v>56</v>
      </c>
      <c r="L103" t="s">
        <v>36</v>
      </c>
      <c r="M103" t="s">
        <v>30</v>
      </c>
    </row>
    <row r="104" spans="1:13" x14ac:dyDescent="0.3">
      <c r="A104" t="s">
        <v>237</v>
      </c>
      <c r="B104" s="4">
        <v>45339</v>
      </c>
      <c r="C104" s="6">
        <v>0.27361111111111114</v>
      </c>
      <c r="D104" t="s">
        <v>238</v>
      </c>
      <c r="E104" t="s">
        <v>69</v>
      </c>
      <c r="F104">
        <v>28</v>
      </c>
      <c r="G104" t="s">
        <v>214</v>
      </c>
      <c r="H104" t="s">
        <v>23</v>
      </c>
      <c r="I104" t="s">
        <v>98</v>
      </c>
      <c r="K104">
        <v>59</v>
      </c>
      <c r="L104" t="s">
        <v>25</v>
      </c>
      <c r="M104" t="s">
        <v>30</v>
      </c>
    </row>
    <row r="105" spans="1:13" x14ac:dyDescent="0.3">
      <c r="A105" t="s">
        <v>239</v>
      </c>
      <c r="B105" s="4">
        <v>45333</v>
      </c>
      <c r="C105" s="6">
        <v>0.84375</v>
      </c>
      <c r="D105" t="s">
        <v>240</v>
      </c>
      <c r="E105" t="s">
        <v>69</v>
      </c>
      <c r="F105">
        <v>74</v>
      </c>
      <c r="G105" t="s">
        <v>214</v>
      </c>
      <c r="H105" t="s">
        <v>23</v>
      </c>
      <c r="I105" t="s">
        <v>98</v>
      </c>
      <c r="K105">
        <v>47</v>
      </c>
      <c r="L105" t="s">
        <v>29</v>
      </c>
      <c r="M105" t="s">
        <v>30</v>
      </c>
    </row>
    <row r="106" spans="1:13" x14ac:dyDescent="0.3">
      <c r="A106" t="s">
        <v>241</v>
      </c>
      <c r="B106" s="4">
        <v>45349</v>
      </c>
      <c r="C106" s="6">
        <v>0.42569444444444443</v>
      </c>
      <c r="D106" t="s">
        <v>242</v>
      </c>
      <c r="E106" t="s">
        <v>69</v>
      </c>
      <c r="F106">
        <v>51</v>
      </c>
      <c r="G106" t="s">
        <v>214</v>
      </c>
      <c r="H106" t="s">
        <v>23</v>
      </c>
      <c r="I106" t="s">
        <v>98</v>
      </c>
      <c r="K106">
        <v>35</v>
      </c>
      <c r="L106" t="s">
        <v>33</v>
      </c>
      <c r="M106" t="s">
        <v>30</v>
      </c>
    </row>
    <row r="107" spans="1:13" x14ac:dyDescent="0.3">
      <c r="A107" t="s">
        <v>243</v>
      </c>
      <c r="B107" s="4">
        <v>45326</v>
      </c>
      <c r="C107" s="6">
        <v>0.45416666666666666</v>
      </c>
      <c r="D107" t="s">
        <v>244</v>
      </c>
      <c r="E107" t="s">
        <v>69</v>
      </c>
      <c r="F107">
        <v>55</v>
      </c>
      <c r="G107" t="s">
        <v>214</v>
      </c>
      <c r="H107" t="s">
        <v>23</v>
      </c>
      <c r="I107" t="s">
        <v>98</v>
      </c>
      <c r="K107">
        <v>28</v>
      </c>
      <c r="L107" t="s">
        <v>33</v>
      </c>
      <c r="M107" t="s">
        <v>26</v>
      </c>
    </row>
    <row r="108" spans="1:13" x14ac:dyDescent="0.3">
      <c r="A108" t="s">
        <v>245</v>
      </c>
      <c r="B108" s="4">
        <v>45324</v>
      </c>
      <c r="C108" s="6">
        <v>0.22222222222222221</v>
      </c>
      <c r="D108" t="s">
        <v>246</v>
      </c>
      <c r="E108" t="s">
        <v>69</v>
      </c>
      <c r="F108">
        <v>63</v>
      </c>
      <c r="G108" t="s">
        <v>214</v>
      </c>
      <c r="H108" t="s">
        <v>23</v>
      </c>
      <c r="I108" t="s">
        <v>98</v>
      </c>
      <c r="K108">
        <v>45</v>
      </c>
      <c r="L108" t="s">
        <v>53</v>
      </c>
      <c r="M108" t="s">
        <v>30</v>
      </c>
    </row>
    <row r="109" spans="1:13" x14ac:dyDescent="0.3">
      <c r="A109" t="s">
        <v>247</v>
      </c>
      <c r="B109" s="4">
        <v>45351</v>
      </c>
      <c r="C109" s="6">
        <v>0.37361111111111112</v>
      </c>
      <c r="D109" t="s">
        <v>248</v>
      </c>
      <c r="E109" t="s">
        <v>69</v>
      </c>
      <c r="F109">
        <v>48</v>
      </c>
      <c r="G109" t="s">
        <v>214</v>
      </c>
      <c r="H109" t="s">
        <v>23</v>
      </c>
      <c r="I109" t="s">
        <v>98</v>
      </c>
      <c r="K109">
        <v>24</v>
      </c>
      <c r="L109" t="s">
        <v>56</v>
      </c>
      <c r="M109" t="s">
        <v>26</v>
      </c>
    </row>
    <row r="110" spans="1:13" x14ac:dyDescent="0.3">
      <c r="A110" t="s">
        <v>249</v>
      </c>
      <c r="B110" s="4">
        <v>45346</v>
      </c>
      <c r="C110" s="6">
        <v>0.46597222222222223</v>
      </c>
      <c r="D110" t="s">
        <v>250</v>
      </c>
      <c r="E110" t="s">
        <v>69</v>
      </c>
      <c r="F110">
        <v>13</v>
      </c>
      <c r="G110" t="s">
        <v>214</v>
      </c>
      <c r="H110" t="s">
        <v>23</v>
      </c>
      <c r="I110" t="s">
        <v>98</v>
      </c>
      <c r="K110">
        <v>24</v>
      </c>
      <c r="L110" t="s">
        <v>39</v>
      </c>
      <c r="M110" t="s">
        <v>26</v>
      </c>
    </row>
    <row r="111" spans="1:13" x14ac:dyDescent="0.3">
      <c r="A111" t="s">
        <v>251</v>
      </c>
      <c r="B111" s="4">
        <v>45344</v>
      </c>
      <c r="C111" s="6">
        <v>0.23472222222222222</v>
      </c>
      <c r="D111" t="s">
        <v>252</v>
      </c>
      <c r="E111" t="s">
        <v>69</v>
      </c>
      <c r="F111">
        <v>70</v>
      </c>
      <c r="G111" t="s">
        <v>214</v>
      </c>
      <c r="H111" t="s">
        <v>23</v>
      </c>
      <c r="I111" t="s">
        <v>98</v>
      </c>
      <c r="K111">
        <v>39</v>
      </c>
      <c r="L111" t="s">
        <v>53</v>
      </c>
      <c r="M111" t="s">
        <v>30</v>
      </c>
    </row>
    <row r="112" spans="1:13" x14ac:dyDescent="0.3">
      <c r="A112" t="s">
        <v>253</v>
      </c>
      <c r="B112" s="4">
        <v>45343</v>
      </c>
      <c r="C112" s="6">
        <v>4.7222222222222221E-2</v>
      </c>
      <c r="D112" t="s">
        <v>254</v>
      </c>
      <c r="E112" t="s">
        <v>69</v>
      </c>
      <c r="F112">
        <v>30</v>
      </c>
      <c r="G112" t="s">
        <v>214</v>
      </c>
      <c r="H112" t="s">
        <v>23</v>
      </c>
      <c r="I112" t="s">
        <v>98</v>
      </c>
      <c r="K112">
        <v>54</v>
      </c>
      <c r="L112" t="s">
        <v>25</v>
      </c>
      <c r="M112" t="s">
        <v>30</v>
      </c>
    </row>
    <row r="113" spans="1:13" x14ac:dyDescent="0.3">
      <c r="A113" t="s">
        <v>255</v>
      </c>
      <c r="B113" s="4">
        <v>45332</v>
      </c>
      <c r="C113" s="6">
        <v>0.63541666666666663</v>
      </c>
      <c r="D113" t="s">
        <v>256</v>
      </c>
      <c r="E113" t="s">
        <v>21</v>
      </c>
      <c r="F113">
        <v>57</v>
      </c>
      <c r="G113" t="s">
        <v>214</v>
      </c>
      <c r="H113" t="s">
        <v>23</v>
      </c>
      <c r="I113" t="s">
        <v>24</v>
      </c>
      <c r="K113">
        <v>39</v>
      </c>
      <c r="L113" t="s">
        <v>33</v>
      </c>
      <c r="M113" t="s">
        <v>30</v>
      </c>
    </row>
    <row r="114" spans="1:13" x14ac:dyDescent="0.3">
      <c r="A114" t="s">
        <v>257</v>
      </c>
      <c r="B114" s="4">
        <v>45349</v>
      </c>
      <c r="C114" s="6">
        <v>0.5854166666666667</v>
      </c>
      <c r="D114" t="s">
        <v>258</v>
      </c>
      <c r="E114" t="s">
        <v>21</v>
      </c>
      <c r="F114">
        <v>32</v>
      </c>
      <c r="G114" t="s">
        <v>214</v>
      </c>
      <c r="H114" t="s">
        <v>23</v>
      </c>
      <c r="I114" t="s">
        <v>24</v>
      </c>
      <c r="K114">
        <v>18</v>
      </c>
      <c r="L114" t="s">
        <v>36</v>
      </c>
      <c r="M114" t="s">
        <v>26</v>
      </c>
    </row>
    <row r="115" spans="1:13" x14ac:dyDescent="0.3">
      <c r="A115" t="s">
        <v>259</v>
      </c>
      <c r="B115" s="4">
        <v>45342</v>
      </c>
      <c r="C115" s="6">
        <v>0.25555555555555554</v>
      </c>
      <c r="D115" t="s">
        <v>260</v>
      </c>
      <c r="E115" t="s">
        <v>21</v>
      </c>
      <c r="F115">
        <v>29</v>
      </c>
      <c r="G115" t="s">
        <v>214</v>
      </c>
      <c r="H115" t="s">
        <v>23</v>
      </c>
      <c r="I115" t="s">
        <v>24</v>
      </c>
      <c r="K115">
        <v>20</v>
      </c>
      <c r="L115" t="s">
        <v>25</v>
      </c>
      <c r="M115" t="s">
        <v>26</v>
      </c>
    </row>
    <row r="116" spans="1:13" x14ac:dyDescent="0.3">
      <c r="A116" t="s">
        <v>261</v>
      </c>
      <c r="B116" s="4">
        <v>45346</v>
      </c>
      <c r="C116" s="6">
        <v>0.3347222222222222</v>
      </c>
      <c r="D116" t="s">
        <v>262</v>
      </c>
      <c r="E116" t="s">
        <v>21</v>
      </c>
      <c r="F116">
        <v>23</v>
      </c>
      <c r="G116" t="s">
        <v>214</v>
      </c>
      <c r="H116" t="s">
        <v>23</v>
      </c>
      <c r="I116" t="s">
        <v>24</v>
      </c>
      <c r="K116">
        <v>50</v>
      </c>
      <c r="L116" t="s">
        <v>25</v>
      </c>
      <c r="M116" t="s">
        <v>30</v>
      </c>
    </row>
    <row r="117" spans="1:13" x14ac:dyDescent="0.3">
      <c r="A117" t="s">
        <v>263</v>
      </c>
      <c r="B117" s="4">
        <v>45346</v>
      </c>
      <c r="C117" s="6">
        <v>0.73541666666666672</v>
      </c>
      <c r="D117" t="s">
        <v>264</v>
      </c>
      <c r="E117" t="s">
        <v>21</v>
      </c>
      <c r="F117">
        <v>51</v>
      </c>
      <c r="G117" t="s">
        <v>214</v>
      </c>
      <c r="H117" t="s">
        <v>23</v>
      </c>
      <c r="I117" t="s">
        <v>24</v>
      </c>
      <c r="K117">
        <v>56</v>
      </c>
      <c r="L117" t="s">
        <v>33</v>
      </c>
      <c r="M117" t="s">
        <v>30</v>
      </c>
    </row>
    <row r="118" spans="1:13" x14ac:dyDescent="0.3">
      <c r="A118" t="s">
        <v>265</v>
      </c>
      <c r="B118" s="4">
        <v>45348</v>
      </c>
      <c r="C118" s="6">
        <v>5.2083333333333336E-2</v>
      </c>
      <c r="D118" t="s">
        <v>266</v>
      </c>
      <c r="E118" t="s">
        <v>21</v>
      </c>
      <c r="F118">
        <v>39</v>
      </c>
      <c r="G118" t="s">
        <v>214</v>
      </c>
      <c r="H118" t="s">
        <v>23</v>
      </c>
      <c r="I118" t="s">
        <v>24</v>
      </c>
      <c r="K118">
        <v>15</v>
      </c>
      <c r="L118" t="s">
        <v>36</v>
      </c>
      <c r="M118" t="s">
        <v>26</v>
      </c>
    </row>
    <row r="119" spans="1:13" x14ac:dyDescent="0.3">
      <c r="A119" t="s">
        <v>267</v>
      </c>
      <c r="B119" s="4">
        <v>45345</v>
      </c>
      <c r="C119" s="6">
        <v>0.92569444444444449</v>
      </c>
      <c r="D119" t="s">
        <v>268</v>
      </c>
      <c r="E119" t="s">
        <v>21</v>
      </c>
      <c r="F119">
        <v>70</v>
      </c>
      <c r="G119" t="s">
        <v>214</v>
      </c>
      <c r="H119" t="s">
        <v>23</v>
      </c>
      <c r="I119" t="s">
        <v>24</v>
      </c>
      <c r="K119">
        <v>19</v>
      </c>
      <c r="L119" t="s">
        <v>53</v>
      </c>
      <c r="M119" t="s">
        <v>26</v>
      </c>
    </row>
    <row r="120" spans="1:13" x14ac:dyDescent="0.3">
      <c r="A120" t="s">
        <v>269</v>
      </c>
      <c r="B120" s="4">
        <v>45351</v>
      </c>
      <c r="C120" s="6">
        <v>0.59930555555555554</v>
      </c>
      <c r="D120" t="s">
        <v>270</v>
      </c>
      <c r="E120" t="s">
        <v>21</v>
      </c>
      <c r="F120">
        <v>62</v>
      </c>
      <c r="G120" t="s">
        <v>214</v>
      </c>
      <c r="H120" t="s">
        <v>23</v>
      </c>
      <c r="I120" t="s">
        <v>24</v>
      </c>
      <c r="K120">
        <v>56</v>
      </c>
      <c r="L120" t="s">
        <v>53</v>
      </c>
      <c r="M120" t="s">
        <v>30</v>
      </c>
    </row>
    <row r="121" spans="1:13" x14ac:dyDescent="0.3">
      <c r="A121" t="s">
        <v>271</v>
      </c>
      <c r="B121" s="4">
        <v>45348</v>
      </c>
      <c r="C121" s="6">
        <v>0.58194444444444449</v>
      </c>
      <c r="D121" t="s">
        <v>272</v>
      </c>
      <c r="E121" t="s">
        <v>21</v>
      </c>
      <c r="F121">
        <v>57</v>
      </c>
      <c r="G121" t="s">
        <v>214</v>
      </c>
      <c r="H121" t="s">
        <v>23</v>
      </c>
      <c r="I121" t="s">
        <v>24</v>
      </c>
      <c r="K121">
        <v>34</v>
      </c>
      <c r="L121" t="s">
        <v>33</v>
      </c>
      <c r="M121" t="s">
        <v>30</v>
      </c>
    </row>
    <row r="122" spans="1:13" x14ac:dyDescent="0.3">
      <c r="A122" t="s">
        <v>273</v>
      </c>
      <c r="B122" s="4">
        <v>45348</v>
      </c>
      <c r="C122" s="6">
        <v>0.49652777777777779</v>
      </c>
      <c r="D122" t="s">
        <v>274</v>
      </c>
      <c r="E122" t="s">
        <v>21</v>
      </c>
      <c r="F122">
        <v>41</v>
      </c>
      <c r="G122" t="s">
        <v>214</v>
      </c>
      <c r="H122" t="s">
        <v>23</v>
      </c>
      <c r="I122" t="s">
        <v>24</v>
      </c>
      <c r="K122">
        <v>60</v>
      </c>
      <c r="L122" t="s">
        <v>56</v>
      </c>
      <c r="M122" t="s">
        <v>30</v>
      </c>
    </row>
    <row r="123" spans="1:13" x14ac:dyDescent="0.3">
      <c r="A123" t="s">
        <v>275</v>
      </c>
      <c r="B123" s="4">
        <v>45328</v>
      </c>
      <c r="C123" s="6">
        <v>0.30694444444444446</v>
      </c>
      <c r="D123" t="s">
        <v>276</v>
      </c>
      <c r="E123" t="s">
        <v>21</v>
      </c>
      <c r="F123">
        <v>31</v>
      </c>
      <c r="G123" t="s">
        <v>214</v>
      </c>
      <c r="H123" t="s">
        <v>23</v>
      </c>
      <c r="I123" t="s">
        <v>24</v>
      </c>
      <c r="K123">
        <v>10</v>
      </c>
      <c r="L123" t="s">
        <v>36</v>
      </c>
      <c r="M123" t="s">
        <v>26</v>
      </c>
    </row>
    <row r="124" spans="1:13" x14ac:dyDescent="0.3">
      <c r="A124" t="s">
        <v>277</v>
      </c>
      <c r="B124" s="4">
        <v>45329</v>
      </c>
      <c r="C124" s="6">
        <v>0.15138888888888888</v>
      </c>
      <c r="D124" t="s">
        <v>278</v>
      </c>
      <c r="E124" t="s">
        <v>21</v>
      </c>
      <c r="F124">
        <v>25</v>
      </c>
      <c r="G124" t="s">
        <v>214</v>
      </c>
      <c r="H124" t="s">
        <v>23</v>
      </c>
      <c r="I124" t="s">
        <v>98</v>
      </c>
      <c r="K124">
        <v>59</v>
      </c>
      <c r="L124" t="s">
        <v>25</v>
      </c>
      <c r="M124" t="s">
        <v>30</v>
      </c>
    </row>
    <row r="125" spans="1:13" x14ac:dyDescent="0.3">
      <c r="A125" t="s">
        <v>279</v>
      </c>
      <c r="B125" s="4">
        <v>45349</v>
      </c>
      <c r="C125" s="6">
        <v>0.86041666666666672</v>
      </c>
      <c r="D125" t="s">
        <v>280</v>
      </c>
      <c r="E125" t="s">
        <v>21</v>
      </c>
      <c r="F125">
        <v>52</v>
      </c>
      <c r="G125" t="s">
        <v>214</v>
      </c>
      <c r="H125" t="s">
        <v>23</v>
      </c>
      <c r="I125" t="s">
        <v>98</v>
      </c>
      <c r="K125">
        <v>22</v>
      </c>
      <c r="L125" t="s">
        <v>33</v>
      </c>
      <c r="M125" t="s">
        <v>26</v>
      </c>
    </row>
    <row r="126" spans="1:13" x14ac:dyDescent="0.3">
      <c r="A126" t="s">
        <v>281</v>
      </c>
      <c r="B126" s="4">
        <v>45339</v>
      </c>
      <c r="C126" s="6">
        <v>0.59513888888888888</v>
      </c>
      <c r="D126" t="s">
        <v>282</v>
      </c>
      <c r="E126" t="s">
        <v>21</v>
      </c>
      <c r="F126">
        <v>20</v>
      </c>
      <c r="G126" t="s">
        <v>214</v>
      </c>
      <c r="H126" t="s">
        <v>23</v>
      </c>
      <c r="I126" t="s">
        <v>98</v>
      </c>
      <c r="K126">
        <v>51</v>
      </c>
      <c r="L126" t="s">
        <v>39</v>
      </c>
      <c r="M126" t="s">
        <v>30</v>
      </c>
    </row>
    <row r="127" spans="1:13" x14ac:dyDescent="0.3">
      <c r="A127" t="s">
        <v>283</v>
      </c>
      <c r="B127" s="4">
        <v>45342</v>
      </c>
      <c r="C127" s="6">
        <v>0.99791666666666667</v>
      </c>
      <c r="D127" t="s">
        <v>284</v>
      </c>
      <c r="E127" t="s">
        <v>21</v>
      </c>
      <c r="F127">
        <v>33</v>
      </c>
      <c r="G127" t="s">
        <v>214</v>
      </c>
      <c r="H127" t="s">
        <v>23</v>
      </c>
      <c r="I127" t="s">
        <v>98</v>
      </c>
      <c r="K127">
        <v>13</v>
      </c>
      <c r="L127" t="s">
        <v>36</v>
      </c>
      <c r="M127" t="s">
        <v>26</v>
      </c>
    </row>
    <row r="128" spans="1:13" x14ac:dyDescent="0.3">
      <c r="A128" t="s">
        <v>285</v>
      </c>
      <c r="B128" s="4">
        <v>45350</v>
      </c>
      <c r="C128" s="6">
        <v>0.70972222222222225</v>
      </c>
      <c r="D128" t="s">
        <v>286</v>
      </c>
      <c r="E128" t="s">
        <v>21</v>
      </c>
      <c r="F128">
        <v>21</v>
      </c>
      <c r="G128" t="s">
        <v>214</v>
      </c>
      <c r="H128" t="s">
        <v>23</v>
      </c>
      <c r="I128" t="s">
        <v>98</v>
      </c>
      <c r="K128">
        <v>55</v>
      </c>
      <c r="L128" t="s">
        <v>25</v>
      </c>
      <c r="M128" t="s">
        <v>30</v>
      </c>
    </row>
    <row r="129" spans="1:13" x14ac:dyDescent="0.3">
      <c r="A129" t="s">
        <v>287</v>
      </c>
      <c r="B129" s="4">
        <v>45348</v>
      </c>
      <c r="C129" s="6">
        <v>0.4597222222222222</v>
      </c>
      <c r="D129" t="s">
        <v>288</v>
      </c>
      <c r="E129" t="s">
        <v>21</v>
      </c>
      <c r="F129">
        <v>38</v>
      </c>
      <c r="G129" t="s">
        <v>214</v>
      </c>
      <c r="H129" t="s">
        <v>23</v>
      </c>
      <c r="I129" t="s">
        <v>98</v>
      </c>
      <c r="K129">
        <v>36</v>
      </c>
      <c r="L129" t="s">
        <v>36</v>
      </c>
      <c r="M129" t="s">
        <v>30</v>
      </c>
    </row>
    <row r="130" spans="1:13" x14ac:dyDescent="0.3">
      <c r="A130" t="s">
        <v>289</v>
      </c>
      <c r="B130" s="4">
        <v>45341</v>
      </c>
      <c r="C130" s="6">
        <v>2.2222222222222223E-2</v>
      </c>
      <c r="D130" t="s">
        <v>290</v>
      </c>
      <c r="E130" t="s">
        <v>21</v>
      </c>
      <c r="F130">
        <v>22</v>
      </c>
      <c r="G130" t="s">
        <v>214</v>
      </c>
      <c r="H130" t="s">
        <v>23</v>
      </c>
      <c r="I130" t="s">
        <v>98</v>
      </c>
      <c r="K130">
        <v>46</v>
      </c>
      <c r="L130" t="s">
        <v>25</v>
      </c>
      <c r="M130" t="s">
        <v>30</v>
      </c>
    </row>
    <row r="131" spans="1:13" x14ac:dyDescent="0.3">
      <c r="A131" t="s">
        <v>291</v>
      </c>
      <c r="B131" s="4">
        <v>45337</v>
      </c>
      <c r="C131" s="6">
        <v>3.4722222222222224E-2</v>
      </c>
      <c r="D131" t="s">
        <v>292</v>
      </c>
      <c r="E131" t="s">
        <v>21</v>
      </c>
      <c r="F131">
        <v>45</v>
      </c>
      <c r="G131" t="s">
        <v>214</v>
      </c>
      <c r="H131" t="s">
        <v>23</v>
      </c>
      <c r="I131" t="s">
        <v>98</v>
      </c>
      <c r="K131">
        <v>50</v>
      </c>
      <c r="L131" t="s">
        <v>56</v>
      </c>
      <c r="M131" t="s">
        <v>30</v>
      </c>
    </row>
    <row r="132" spans="1:13" x14ac:dyDescent="0.3">
      <c r="A132" t="s">
        <v>293</v>
      </c>
      <c r="B132" s="4">
        <v>45329</v>
      </c>
      <c r="C132" s="6">
        <v>0.94652777777777775</v>
      </c>
      <c r="D132" t="s">
        <v>294</v>
      </c>
      <c r="E132" t="s">
        <v>21</v>
      </c>
      <c r="F132">
        <v>47</v>
      </c>
      <c r="G132" t="s">
        <v>214</v>
      </c>
      <c r="H132" t="s">
        <v>23</v>
      </c>
      <c r="I132" t="s">
        <v>98</v>
      </c>
      <c r="K132">
        <v>53</v>
      </c>
      <c r="L132" t="s">
        <v>56</v>
      </c>
      <c r="M132" t="s">
        <v>30</v>
      </c>
    </row>
    <row r="133" spans="1:13" x14ac:dyDescent="0.3">
      <c r="A133" t="s">
        <v>295</v>
      </c>
      <c r="B133" s="4">
        <v>45323</v>
      </c>
      <c r="C133" s="6">
        <v>0.40763888888888888</v>
      </c>
      <c r="D133" t="s">
        <v>296</v>
      </c>
      <c r="E133" t="s">
        <v>21</v>
      </c>
      <c r="F133">
        <v>64</v>
      </c>
      <c r="G133" t="s">
        <v>214</v>
      </c>
      <c r="H133" t="s">
        <v>23</v>
      </c>
      <c r="I133" t="s">
        <v>98</v>
      </c>
      <c r="K133">
        <v>47</v>
      </c>
      <c r="L133" t="s">
        <v>53</v>
      </c>
      <c r="M133" t="s">
        <v>30</v>
      </c>
    </row>
    <row r="134" spans="1:13" x14ac:dyDescent="0.3">
      <c r="A134" t="s">
        <v>297</v>
      </c>
      <c r="B134" s="4">
        <v>45341</v>
      </c>
      <c r="C134" s="6">
        <v>0.9916666666666667</v>
      </c>
      <c r="D134" t="s">
        <v>298</v>
      </c>
      <c r="E134" t="s">
        <v>21</v>
      </c>
      <c r="F134">
        <v>55</v>
      </c>
      <c r="G134" t="s">
        <v>214</v>
      </c>
      <c r="H134" t="s">
        <v>23</v>
      </c>
      <c r="I134" t="s">
        <v>98</v>
      </c>
      <c r="K134">
        <v>55</v>
      </c>
      <c r="L134" t="s">
        <v>33</v>
      </c>
      <c r="M134" t="s">
        <v>30</v>
      </c>
    </row>
    <row r="135" spans="1:13" x14ac:dyDescent="0.3">
      <c r="A135" t="s">
        <v>299</v>
      </c>
      <c r="B135" s="4">
        <v>45342</v>
      </c>
      <c r="C135" s="6">
        <v>0.88055555555555554</v>
      </c>
      <c r="D135" t="s">
        <v>300</v>
      </c>
      <c r="E135" t="s">
        <v>21</v>
      </c>
      <c r="F135">
        <v>71</v>
      </c>
      <c r="G135" t="s">
        <v>214</v>
      </c>
      <c r="H135" t="s">
        <v>23</v>
      </c>
      <c r="I135" t="s">
        <v>98</v>
      </c>
      <c r="K135">
        <v>38</v>
      </c>
      <c r="L135" t="s">
        <v>29</v>
      </c>
      <c r="M135" t="s">
        <v>30</v>
      </c>
    </row>
    <row r="136" spans="1:13" x14ac:dyDescent="0.3">
      <c r="A136" t="s">
        <v>301</v>
      </c>
      <c r="B136" s="4">
        <v>45348</v>
      </c>
      <c r="C136" s="6">
        <v>0.16250000000000001</v>
      </c>
      <c r="D136" t="s">
        <v>302</v>
      </c>
      <c r="E136" t="s">
        <v>21</v>
      </c>
      <c r="F136">
        <v>34</v>
      </c>
      <c r="G136" t="s">
        <v>214</v>
      </c>
      <c r="H136" t="s">
        <v>23</v>
      </c>
      <c r="I136" t="s">
        <v>98</v>
      </c>
      <c r="K136">
        <v>41</v>
      </c>
      <c r="L136" t="s">
        <v>36</v>
      </c>
      <c r="M136" t="s">
        <v>30</v>
      </c>
    </row>
    <row r="137" spans="1:13" x14ac:dyDescent="0.3">
      <c r="A137" t="s">
        <v>303</v>
      </c>
      <c r="B137" s="4">
        <v>45343</v>
      </c>
      <c r="C137" s="6">
        <v>0.10555555555555556</v>
      </c>
      <c r="D137" t="s">
        <v>304</v>
      </c>
      <c r="E137" t="s">
        <v>21</v>
      </c>
      <c r="F137">
        <v>6</v>
      </c>
      <c r="G137" t="s">
        <v>214</v>
      </c>
      <c r="H137" t="s">
        <v>23</v>
      </c>
      <c r="I137" t="s">
        <v>98</v>
      </c>
      <c r="K137">
        <v>48</v>
      </c>
      <c r="L137" t="s">
        <v>48</v>
      </c>
      <c r="M137" t="s">
        <v>30</v>
      </c>
    </row>
    <row r="138" spans="1:13" x14ac:dyDescent="0.3">
      <c r="A138" t="s">
        <v>305</v>
      </c>
      <c r="B138" s="4">
        <v>45323</v>
      </c>
      <c r="C138" s="6">
        <v>0.22916666666666666</v>
      </c>
      <c r="D138" t="s">
        <v>306</v>
      </c>
      <c r="E138" t="s">
        <v>21</v>
      </c>
      <c r="F138">
        <v>54</v>
      </c>
      <c r="G138" t="s">
        <v>307</v>
      </c>
      <c r="H138" t="s">
        <v>23</v>
      </c>
      <c r="I138" t="s">
        <v>24</v>
      </c>
      <c r="K138">
        <v>60</v>
      </c>
      <c r="L138" t="s">
        <v>33</v>
      </c>
      <c r="M138" t="s">
        <v>30</v>
      </c>
    </row>
    <row r="139" spans="1:13" x14ac:dyDescent="0.3">
      <c r="A139" t="s">
        <v>308</v>
      </c>
      <c r="B139" s="4">
        <v>45333</v>
      </c>
      <c r="C139" s="6">
        <v>0.24305555555555555</v>
      </c>
      <c r="D139" t="s">
        <v>309</v>
      </c>
      <c r="E139" t="s">
        <v>21</v>
      </c>
      <c r="F139">
        <v>74</v>
      </c>
      <c r="G139" t="s">
        <v>307</v>
      </c>
      <c r="H139" t="s">
        <v>23</v>
      </c>
      <c r="I139" t="s">
        <v>24</v>
      </c>
      <c r="K139">
        <v>49</v>
      </c>
      <c r="L139" t="s">
        <v>29</v>
      </c>
      <c r="M139" t="s">
        <v>30</v>
      </c>
    </row>
    <row r="140" spans="1:13" x14ac:dyDescent="0.3">
      <c r="A140" t="s">
        <v>310</v>
      </c>
      <c r="B140" s="4">
        <v>45328</v>
      </c>
      <c r="C140" s="6">
        <v>0.46805555555555556</v>
      </c>
      <c r="D140" t="s">
        <v>311</v>
      </c>
      <c r="E140" t="s">
        <v>21</v>
      </c>
      <c r="F140">
        <v>59</v>
      </c>
      <c r="G140" t="s">
        <v>307</v>
      </c>
      <c r="H140" t="s">
        <v>23</v>
      </c>
      <c r="I140" t="s">
        <v>24</v>
      </c>
      <c r="K140">
        <v>16</v>
      </c>
      <c r="L140" t="s">
        <v>33</v>
      </c>
      <c r="M140" t="s">
        <v>26</v>
      </c>
    </row>
    <row r="141" spans="1:13" x14ac:dyDescent="0.3">
      <c r="A141" t="s">
        <v>312</v>
      </c>
      <c r="B141" s="4">
        <v>45328</v>
      </c>
      <c r="C141" s="6">
        <v>0.68888888888888888</v>
      </c>
      <c r="D141" t="s">
        <v>313</v>
      </c>
      <c r="E141" t="s">
        <v>21</v>
      </c>
      <c r="F141">
        <v>39</v>
      </c>
      <c r="G141" t="s">
        <v>307</v>
      </c>
      <c r="H141" t="s">
        <v>23</v>
      </c>
      <c r="I141" t="s">
        <v>98</v>
      </c>
      <c r="K141">
        <v>57</v>
      </c>
      <c r="L141" t="s">
        <v>36</v>
      </c>
      <c r="M141" t="s">
        <v>30</v>
      </c>
    </row>
    <row r="142" spans="1:13" x14ac:dyDescent="0.3">
      <c r="A142" t="s">
        <v>314</v>
      </c>
      <c r="B142" s="4">
        <v>45324</v>
      </c>
      <c r="C142" s="6">
        <v>0.22361111111111112</v>
      </c>
      <c r="D142" t="s">
        <v>315</v>
      </c>
      <c r="E142" t="s">
        <v>21</v>
      </c>
      <c r="F142">
        <v>62</v>
      </c>
      <c r="G142" t="s">
        <v>307</v>
      </c>
      <c r="H142" t="s">
        <v>23</v>
      </c>
      <c r="I142" t="s">
        <v>98</v>
      </c>
      <c r="K142">
        <v>31</v>
      </c>
      <c r="L142" t="s">
        <v>53</v>
      </c>
      <c r="M142" t="s">
        <v>30</v>
      </c>
    </row>
    <row r="143" spans="1:13" x14ac:dyDescent="0.3">
      <c r="A143" t="s">
        <v>316</v>
      </c>
      <c r="B143" s="4">
        <v>45344</v>
      </c>
      <c r="C143" s="6">
        <v>0.74861111111111112</v>
      </c>
      <c r="D143" t="s">
        <v>317</v>
      </c>
      <c r="E143" t="s">
        <v>21</v>
      </c>
      <c r="F143">
        <v>78</v>
      </c>
      <c r="G143" t="s">
        <v>307</v>
      </c>
      <c r="H143" t="s">
        <v>23</v>
      </c>
      <c r="I143" t="s">
        <v>98</v>
      </c>
      <c r="K143">
        <v>38</v>
      </c>
      <c r="L143" t="s">
        <v>29</v>
      </c>
      <c r="M143" t="s">
        <v>30</v>
      </c>
    </row>
    <row r="144" spans="1:13" x14ac:dyDescent="0.3">
      <c r="A144" t="s">
        <v>318</v>
      </c>
      <c r="B144" s="4">
        <v>45345</v>
      </c>
      <c r="C144" s="6">
        <v>0.71597222222222223</v>
      </c>
      <c r="D144" t="s">
        <v>319</v>
      </c>
      <c r="E144" t="s">
        <v>21</v>
      </c>
      <c r="F144">
        <v>19</v>
      </c>
      <c r="G144" t="s">
        <v>307</v>
      </c>
      <c r="H144" t="s">
        <v>23</v>
      </c>
      <c r="I144" t="s">
        <v>98</v>
      </c>
      <c r="K144">
        <v>33</v>
      </c>
      <c r="L144" t="s">
        <v>39</v>
      </c>
      <c r="M144" t="s">
        <v>30</v>
      </c>
    </row>
    <row r="145" spans="1:13" x14ac:dyDescent="0.3">
      <c r="A145" t="s">
        <v>320</v>
      </c>
      <c r="B145" s="4">
        <v>45351</v>
      </c>
      <c r="C145" s="6">
        <v>0.28125</v>
      </c>
      <c r="D145" t="s">
        <v>321</v>
      </c>
      <c r="E145" t="s">
        <v>69</v>
      </c>
      <c r="F145">
        <v>4</v>
      </c>
      <c r="G145" t="s">
        <v>307</v>
      </c>
      <c r="H145" t="s">
        <v>23</v>
      </c>
      <c r="I145" t="s">
        <v>24</v>
      </c>
      <c r="K145">
        <v>40</v>
      </c>
      <c r="L145" t="s">
        <v>48</v>
      </c>
      <c r="M145" t="s">
        <v>30</v>
      </c>
    </row>
    <row r="146" spans="1:13" x14ac:dyDescent="0.3">
      <c r="A146" t="s">
        <v>322</v>
      </c>
      <c r="B146" s="4">
        <v>45325</v>
      </c>
      <c r="C146" s="6">
        <v>0.44305555555555554</v>
      </c>
      <c r="D146" t="s">
        <v>323</v>
      </c>
      <c r="E146" t="s">
        <v>69</v>
      </c>
      <c r="F146">
        <v>27</v>
      </c>
      <c r="G146" t="s">
        <v>307</v>
      </c>
      <c r="H146" t="s">
        <v>23</v>
      </c>
      <c r="I146" t="s">
        <v>24</v>
      </c>
      <c r="K146">
        <v>33</v>
      </c>
      <c r="L146" t="s">
        <v>25</v>
      </c>
      <c r="M146" t="s">
        <v>30</v>
      </c>
    </row>
    <row r="147" spans="1:13" x14ac:dyDescent="0.3">
      <c r="A147" t="s">
        <v>324</v>
      </c>
      <c r="B147" s="4">
        <v>45325</v>
      </c>
      <c r="C147" s="6">
        <v>0.6743055555555556</v>
      </c>
      <c r="D147" t="s">
        <v>325</v>
      </c>
      <c r="E147" t="s">
        <v>69</v>
      </c>
      <c r="F147">
        <v>42</v>
      </c>
      <c r="G147" t="s">
        <v>307</v>
      </c>
      <c r="H147" t="s">
        <v>23</v>
      </c>
      <c r="I147" t="s">
        <v>24</v>
      </c>
      <c r="K147">
        <v>45</v>
      </c>
      <c r="L147" t="s">
        <v>56</v>
      </c>
      <c r="M147" t="s">
        <v>30</v>
      </c>
    </row>
    <row r="148" spans="1:13" x14ac:dyDescent="0.3">
      <c r="A148" t="s">
        <v>326</v>
      </c>
      <c r="B148" s="4">
        <v>45351</v>
      </c>
      <c r="C148" s="6">
        <v>0.91805555555555551</v>
      </c>
      <c r="D148" t="s">
        <v>327</v>
      </c>
      <c r="E148" t="s">
        <v>69</v>
      </c>
      <c r="F148">
        <v>50</v>
      </c>
      <c r="G148" t="s">
        <v>307</v>
      </c>
      <c r="H148" t="s">
        <v>23</v>
      </c>
      <c r="I148" t="s">
        <v>98</v>
      </c>
      <c r="K148">
        <v>34</v>
      </c>
      <c r="L148" t="s">
        <v>56</v>
      </c>
      <c r="M148" t="s">
        <v>30</v>
      </c>
    </row>
    <row r="149" spans="1:13" x14ac:dyDescent="0.3">
      <c r="A149" t="s">
        <v>328</v>
      </c>
      <c r="B149" s="4">
        <v>45332</v>
      </c>
      <c r="C149" s="6">
        <v>0.84583333333333333</v>
      </c>
      <c r="D149" t="s">
        <v>329</v>
      </c>
      <c r="E149" t="s">
        <v>69</v>
      </c>
      <c r="F149">
        <v>26</v>
      </c>
      <c r="G149" t="s">
        <v>307</v>
      </c>
      <c r="H149" t="s">
        <v>23</v>
      </c>
      <c r="I149" t="s">
        <v>98</v>
      </c>
      <c r="K149">
        <v>16</v>
      </c>
      <c r="L149" t="s">
        <v>25</v>
      </c>
      <c r="M149" t="s">
        <v>26</v>
      </c>
    </row>
    <row r="150" spans="1:13" x14ac:dyDescent="0.3">
      <c r="A150" t="s">
        <v>330</v>
      </c>
      <c r="B150" s="4">
        <v>45331</v>
      </c>
      <c r="C150" s="6">
        <v>9.930555555555555E-2</v>
      </c>
      <c r="D150" t="s">
        <v>331</v>
      </c>
      <c r="E150" t="s">
        <v>69</v>
      </c>
      <c r="F150">
        <v>22</v>
      </c>
      <c r="G150" t="s">
        <v>307</v>
      </c>
      <c r="H150" t="s">
        <v>23</v>
      </c>
      <c r="I150" t="s">
        <v>98</v>
      </c>
      <c r="K150">
        <v>22</v>
      </c>
      <c r="L150" t="s">
        <v>25</v>
      </c>
      <c r="M150" t="s">
        <v>26</v>
      </c>
    </row>
    <row r="151" spans="1:13" x14ac:dyDescent="0.3">
      <c r="A151" t="s">
        <v>332</v>
      </c>
      <c r="B151" s="4">
        <v>45350</v>
      </c>
      <c r="C151" s="6">
        <v>0.10208333333333333</v>
      </c>
      <c r="D151" t="s">
        <v>333</v>
      </c>
      <c r="E151" t="s">
        <v>69</v>
      </c>
      <c r="F151">
        <v>15</v>
      </c>
      <c r="G151" t="s">
        <v>307</v>
      </c>
      <c r="H151" t="s">
        <v>23</v>
      </c>
      <c r="I151" t="s">
        <v>98</v>
      </c>
      <c r="K151">
        <v>54</v>
      </c>
      <c r="L151" t="s">
        <v>39</v>
      </c>
      <c r="M151" t="s">
        <v>30</v>
      </c>
    </row>
    <row r="152" spans="1:13" x14ac:dyDescent="0.3">
      <c r="A152" t="s">
        <v>334</v>
      </c>
      <c r="B152" s="4">
        <v>45343</v>
      </c>
      <c r="C152" s="6">
        <v>0.65</v>
      </c>
      <c r="D152" t="s">
        <v>335</v>
      </c>
      <c r="E152" t="s">
        <v>69</v>
      </c>
      <c r="F152">
        <v>49</v>
      </c>
      <c r="G152" t="s">
        <v>307</v>
      </c>
      <c r="H152" t="s">
        <v>23</v>
      </c>
      <c r="I152" t="s">
        <v>98</v>
      </c>
      <c r="K152">
        <v>34</v>
      </c>
      <c r="L152" t="s">
        <v>56</v>
      </c>
      <c r="M152" t="s">
        <v>30</v>
      </c>
    </row>
    <row r="153" spans="1:13" x14ac:dyDescent="0.3">
      <c r="A153" t="s">
        <v>336</v>
      </c>
      <c r="B153" s="4">
        <v>45330</v>
      </c>
      <c r="C153" s="6">
        <v>0.72499999999999998</v>
      </c>
      <c r="D153" t="s">
        <v>337</v>
      </c>
      <c r="E153" t="s">
        <v>69</v>
      </c>
      <c r="F153">
        <v>47</v>
      </c>
      <c r="G153" t="s">
        <v>338</v>
      </c>
      <c r="H153" t="s">
        <v>23</v>
      </c>
      <c r="I153" t="s">
        <v>24</v>
      </c>
      <c r="K153">
        <v>29</v>
      </c>
      <c r="L153" t="s">
        <v>56</v>
      </c>
      <c r="M153" t="s">
        <v>26</v>
      </c>
    </row>
    <row r="154" spans="1:13" x14ac:dyDescent="0.3">
      <c r="A154" t="s">
        <v>339</v>
      </c>
      <c r="B154" s="4">
        <v>45336</v>
      </c>
      <c r="C154" s="6">
        <v>0.81666666666666665</v>
      </c>
      <c r="D154" t="s">
        <v>340</v>
      </c>
      <c r="E154" t="s">
        <v>69</v>
      </c>
      <c r="F154">
        <v>2</v>
      </c>
      <c r="G154" t="s">
        <v>338</v>
      </c>
      <c r="H154" t="s">
        <v>23</v>
      </c>
      <c r="I154" t="s">
        <v>24</v>
      </c>
      <c r="K154">
        <v>20</v>
      </c>
      <c r="L154" t="s">
        <v>48</v>
      </c>
      <c r="M154" t="s">
        <v>26</v>
      </c>
    </row>
    <row r="155" spans="1:13" x14ac:dyDescent="0.3">
      <c r="A155" t="s">
        <v>341</v>
      </c>
      <c r="B155" s="4">
        <v>45337</v>
      </c>
      <c r="C155" s="6">
        <v>0.40208333333333335</v>
      </c>
      <c r="D155" t="s">
        <v>342</v>
      </c>
      <c r="E155" t="s">
        <v>69</v>
      </c>
      <c r="F155">
        <v>47</v>
      </c>
      <c r="G155" t="s">
        <v>338</v>
      </c>
      <c r="H155" t="s">
        <v>23</v>
      </c>
      <c r="I155" t="s">
        <v>24</v>
      </c>
      <c r="K155">
        <v>27</v>
      </c>
      <c r="L155" t="s">
        <v>56</v>
      </c>
      <c r="M155" t="s">
        <v>26</v>
      </c>
    </row>
    <row r="156" spans="1:13" x14ac:dyDescent="0.3">
      <c r="A156" t="s">
        <v>343</v>
      </c>
      <c r="B156" s="4">
        <v>45342</v>
      </c>
      <c r="C156" s="6">
        <v>0.7631944444444444</v>
      </c>
      <c r="D156" t="s">
        <v>344</v>
      </c>
      <c r="E156" t="s">
        <v>69</v>
      </c>
      <c r="F156">
        <v>6</v>
      </c>
      <c r="G156" t="s">
        <v>338</v>
      </c>
      <c r="H156" t="s">
        <v>23</v>
      </c>
      <c r="I156" t="s">
        <v>24</v>
      </c>
      <c r="K156">
        <v>57</v>
      </c>
      <c r="L156" t="s">
        <v>48</v>
      </c>
      <c r="M156" t="s">
        <v>30</v>
      </c>
    </row>
    <row r="157" spans="1:13" x14ac:dyDescent="0.3">
      <c r="A157" t="s">
        <v>345</v>
      </c>
      <c r="B157" s="4">
        <v>45343</v>
      </c>
      <c r="C157" s="6">
        <v>0.67708333333333337</v>
      </c>
      <c r="D157" t="s">
        <v>346</v>
      </c>
      <c r="E157" t="s">
        <v>69</v>
      </c>
      <c r="F157">
        <v>67</v>
      </c>
      <c r="G157" t="s">
        <v>338</v>
      </c>
      <c r="H157" t="s">
        <v>23</v>
      </c>
      <c r="I157" t="s">
        <v>24</v>
      </c>
      <c r="K157">
        <v>16</v>
      </c>
      <c r="L157" t="s">
        <v>53</v>
      </c>
      <c r="M157" t="s">
        <v>26</v>
      </c>
    </row>
    <row r="158" spans="1:13" x14ac:dyDescent="0.3">
      <c r="A158" t="s">
        <v>347</v>
      </c>
      <c r="B158" s="4">
        <v>45351</v>
      </c>
      <c r="C158" s="6">
        <v>0.34305555555555556</v>
      </c>
      <c r="D158" t="s">
        <v>348</v>
      </c>
      <c r="E158" t="s">
        <v>69</v>
      </c>
      <c r="F158">
        <v>16</v>
      </c>
      <c r="G158" t="s">
        <v>338</v>
      </c>
      <c r="H158" t="s">
        <v>23</v>
      </c>
      <c r="I158" t="s">
        <v>24</v>
      </c>
      <c r="K158">
        <v>42</v>
      </c>
      <c r="L158" t="s">
        <v>39</v>
      </c>
      <c r="M158" t="s">
        <v>30</v>
      </c>
    </row>
    <row r="159" spans="1:13" x14ac:dyDescent="0.3">
      <c r="A159" t="s">
        <v>349</v>
      </c>
      <c r="B159" s="4">
        <v>45338</v>
      </c>
      <c r="C159" s="6">
        <v>0.90138888888888891</v>
      </c>
      <c r="D159" t="s">
        <v>350</v>
      </c>
      <c r="E159" t="s">
        <v>21</v>
      </c>
      <c r="F159">
        <v>67</v>
      </c>
      <c r="G159" t="s">
        <v>338</v>
      </c>
      <c r="H159" t="s">
        <v>23</v>
      </c>
      <c r="I159" t="s">
        <v>24</v>
      </c>
      <c r="K159">
        <v>16</v>
      </c>
      <c r="L159" t="s">
        <v>53</v>
      </c>
      <c r="M159" t="s">
        <v>26</v>
      </c>
    </row>
    <row r="160" spans="1:13" x14ac:dyDescent="0.3">
      <c r="A160" t="s">
        <v>351</v>
      </c>
      <c r="B160" s="4">
        <v>45343</v>
      </c>
      <c r="C160" s="6">
        <v>0.66388888888888886</v>
      </c>
      <c r="D160" t="s">
        <v>352</v>
      </c>
      <c r="E160" t="s">
        <v>21</v>
      </c>
      <c r="F160">
        <v>34</v>
      </c>
      <c r="G160" t="s">
        <v>338</v>
      </c>
      <c r="H160" t="s">
        <v>23</v>
      </c>
      <c r="I160" t="s">
        <v>24</v>
      </c>
      <c r="K160">
        <v>11</v>
      </c>
      <c r="L160" t="s">
        <v>36</v>
      </c>
      <c r="M160" t="s">
        <v>26</v>
      </c>
    </row>
    <row r="161" spans="1:13" x14ac:dyDescent="0.3">
      <c r="A161" t="s">
        <v>353</v>
      </c>
      <c r="B161" s="4">
        <v>45334</v>
      </c>
      <c r="C161" s="6">
        <v>0.36944444444444446</v>
      </c>
      <c r="D161" t="s">
        <v>354</v>
      </c>
      <c r="E161" t="s">
        <v>21</v>
      </c>
      <c r="F161">
        <v>39</v>
      </c>
      <c r="G161" t="s">
        <v>338</v>
      </c>
      <c r="H161" t="s">
        <v>23</v>
      </c>
      <c r="I161" t="s">
        <v>24</v>
      </c>
      <c r="K161">
        <v>47</v>
      </c>
      <c r="L161" t="s">
        <v>36</v>
      </c>
      <c r="M161" t="s">
        <v>30</v>
      </c>
    </row>
    <row r="162" spans="1:13" x14ac:dyDescent="0.3">
      <c r="A162" t="s">
        <v>355</v>
      </c>
      <c r="B162" s="4">
        <v>45346</v>
      </c>
      <c r="C162" s="6">
        <v>0.31874999999999998</v>
      </c>
      <c r="D162" t="s">
        <v>356</v>
      </c>
      <c r="E162" t="s">
        <v>21</v>
      </c>
      <c r="F162">
        <v>20</v>
      </c>
      <c r="G162" t="s">
        <v>338</v>
      </c>
      <c r="H162" t="s">
        <v>23</v>
      </c>
      <c r="I162" t="s">
        <v>24</v>
      </c>
      <c r="K162">
        <v>43</v>
      </c>
      <c r="L162" t="s">
        <v>39</v>
      </c>
      <c r="M162" t="s">
        <v>30</v>
      </c>
    </row>
    <row r="163" spans="1:13" x14ac:dyDescent="0.3">
      <c r="A163" t="s">
        <v>357</v>
      </c>
      <c r="B163" s="4">
        <v>45338</v>
      </c>
      <c r="C163" s="6">
        <v>0.67291666666666672</v>
      </c>
      <c r="D163" t="s">
        <v>358</v>
      </c>
      <c r="E163" t="s">
        <v>69</v>
      </c>
      <c r="F163">
        <v>30</v>
      </c>
      <c r="G163" t="s">
        <v>338</v>
      </c>
      <c r="H163" t="s">
        <v>23</v>
      </c>
      <c r="I163" t="s">
        <v>98</v>
      </c>
      <c r="K163">
        <v>55</v>
      </c>
      <c r="L163" t="s">
        <v>25</v>
      </c>
      <c r="M163" t="s">
        <v>30</v>
      </c>
    </row>
    <row r="164" spans="1:13" x14ac:dyDescent="0.3">
      <c r="A164" t="s">
        <v>359</v>
      </c>
      <c r="B164" s="4">
        <v>45336</v>
      </c>
      <c r="C164" s="6">
        <v>4.1666666666666666E-3</v>
      </c>
      <c r="D164" t="s">
        <v>360</v>
      </c>
      <c r="E164" t="s">
        <v>69</v>
      </c>
      <c r="F164">
        <v>78</v>
      </c>
      <c r="G164" t="s">
        <v>338</v>
      </c>
      <c r="H164" t="s">
        <v>23</v>
      </c>
      <c r="I164" t="s">
        <v>98</v>
      </c>
      <c r="K164">
        <v>20</v>
      </c>
      <c r="L164" t="s">
        <v>29</v>
      </c>
      <c r="M164" t="s">
        <v>26</v>
      </c>
    </row>
    <row r="165" spans="1:13" x14ac:dyDescent="0.3">
      <c r="A165" t="s">
        <v>361</v>
      </c>
      <c r="B165" s="4">
        <v>45349</v>
      </c>
      <c r="C165" s="6">
        <v>0.44930555555555557</v>
      </c>
      <c r="D165" t="s">
        <v>362</v>
      </c>
      <c r="E165" t="s">
        <v>69</v>
      </c>
      <c r="F165">
        <v>77</v>
      </c>
      <c r="G165" t="s">
        <v>338</v>
      </c>
      <c r="H165" t="s">
        <v>23</v>
      </c>
      <c r="I165" t="s">
        <v>98</v>
      </c>
      <c r="K165">
        <v>12</v>
      </c>
      <c r="L165" t="s">
        <v>29</v>
      </c>
      <c r="M165" t="s">
        <v>26</v>
      </c>
    </row>
    <row r="166" spans="1:13" x14ac:dyDescent="0.3">
      <c r="A166" t="s">
        <v>363</v>
      </c>
      <c r="B166" s="4">
        <v>45328</v>
      </c>
      <c r="C166" s="6">
        <v>0.13958333333333334</v>
      </c>
      <c r="D166" t="s">
        <v>364</v>
      </c>
      <c r="E166" t="s">
        <v>21</v>
      </c>
      <c r="F166">
        <v>54</v>
      </c>
      <c r="G166" t="s">
        <v>338</v>
      </c>
      <c r="H166" t="s">
        <v>23</v>
      </c>
      <c r="I166" t="s">
        <v>98</v>
      </c>
      <c r="K166">
        <v>60</v>
      </c>
      <c r="L166" t="s">
        <v>33</v>
      </c>
      <c r="M166" t="s">
        <v>30</v>
      </c>
    </row>
    <row r="167" spans="1:13" x14ac:dyDescent="0.3">
      <c r="A167" t="s">
        <v>365</v>
      </c>
      <c r="B167" s="4">
        <v>45336</v>
      </c>
      <c r="C167" s="6">
        <v>2.6388888888888889E-2</v>
      </c>
      <c r="D167" t="s">
        <v>366</v>
      </c>
      <c r="E167" t="s">
        <v>21</v>
      </c>
      <c r="F167">
        <v>26</v>
      </c>
      <c r="G167" t="s">
        <v>338</v>
      </c>
      <c r="H167" t="s">
        <v>23</v>
      </c>
      <c r="I167" t="s">
        <v>98</v>
      </c>
      <c r="K167">
        <v>17</v>
      </c>
      <c r="L167" t="s">
        <v>25</v>
      </c>
      <c r="M167" t="s">
        <v>26</v>
      </c>
    </row>
    <row r="168" spans="1:13" x14ac:dyDescent="0.3">
      <c r="A168" t="s">
        <v>367</v>
      </c>
      <c r="B168" s="4">
        <v>45351</v>
      </c>
      <c r="C168" s="6">
        <v>0.48333333333333334</v>
      </c>
      <c r="D168" t="s">
        <v>368</v>
      </c>
      <c r="E168" t="s">
        <v>69</v>
      </c>
      <c r="F168">
        <v>50</v>
      </c>
      <c r="G168" t="s">
        <v>369</v>
      </c>
      <c r="H168" t="s">
        <v>23</v>
      </c>
      <c r="I168" t="s">
        <v>98</v>
      </c>
      <c r="K168">
        <v>36</v>
      </c>
      <c r="L168" t="s">
        <v>56</v>
      </c>
      <c r="M168" t="s">
        <v>30</v>
      </c>
    </row>
    <row r="169" spans="1:13" x14ac:dyDescent="0.3">
      <c r="A169" t="s">
        <v>370</v>
      </c>
      <c r="B169" s="4">
        <v>45332</v>
      </c>
      <c r="C169" s="6">
        <v>0.39374999999999999</v>
      </c>
      <c r="D169" t="s">
        <v>371</v>
      </c>
      <c r="E169" t="s">
        <v>21</v>
      </c>
      <c r="F169">
        <v>25</v>
      </c>
      <c r="G169" t="s">
        <v>369</v>
      </c>
      <c r="H169" t="s">
        <v>23</v>
      </c>
      <c r="I169" t="s">
        <v>98</v>
      </c>
      <c r="K169">
        <v>59</v>
      </c>
      <c r="L169" t="s">
        <v>25</v>
      </c>
      <c r="M169" t="s">
        <v>30</v>
      </c>
    </row>
    <row r="170" spans="1:13" x14ac:dyDescent="0.3">
      <c r="A170" t="s">
        <v>372</v>
      </c>
      <c r="B170" s="4">
        <v>45324</v>
      </c>
      <c r="C170" s="6">
        <v>0.27291666666666664</v>
      </c>
      <c r="D170" t="s">
        <v>373</v>
      </c>
      <c r="E170" t="s">
        <v>21</v>
      </c>
      <c r="F170">
        <v>59</v>
      </c>
      <c r="G170" t="s">
        <v>369</v>
      </c>
      <c r="H170" t="s">
        <v>23</v>
      </c>
      <c r="I170" t="s">
        <v>98</v>
      </c>
      <c r="K170">
        <v>43</v>
      </c>
      <c r="L170" t="s">
        <v>33</v>
      </c>
      <c r="M170" t="s">
        <v>30</v>
      </c>
    </row>
    <row r="171" spans="1:13" x14ac:dyDescent="0.3">
      <c r="A171" t="s">
        <v>374</v>
      </c>
      <c r="B171" s="4">
        <v>45345</v>
      </c>
      <c r="C171" s="6">
        <v>0.1388888888888889</v>
      </c>
      <c r="D171" t="s">
        <v>375</v>
      </c>
      <c r="E171" t="s">
        <v>21</v>
      </c>
      <c r="F171">
        <v>43</v>
      </c>
      <c r="G171" t="s">
        <v>369</v>
      </c>
      <c r="H171" t="s">
        <v>23</v>
      </c>
      <c r="I171" t="s">
        <v>98</v>
      </c>
      <c r="K171">
        <v>37</v>
      </c>
      <c r="L171" t="s">
        <v>56</v>
      </c>
      <c r="M171" t="s">
        <v>30</v>
      </c>
    </row>
    <row r="172" spans="1:13" x14ac:dyDescent="0.3">
      <c r="A172" t="s">
        <v>376</v>
      </c>
      <c r="B172" s="4">
        <v>45349</v>
      </c>
      <c r="C172" s="6">
        <v>0.97013888888888888</v>
      </c>
      <c r="D172" t="s">
        <v>377</v>
      </c>
      <c r="E172" t="s">
        <v>69</v>
      </c>
      <c r="F172">
        <v>13</v>
      </c>
      <c r="G172" t="s">
        <v>369</v>
      </c>
      <c r="H172" t="s">
        <v>23</v>
      </c>
      <c r="I172" t="s">
        <v>24</v>
      </c>
      <c r="K172">
        <v>16</v>
      </c>
      <c r="L172" t="s">
        <v>39</v>
      </c>
      <c r="M172" t="s">
        <v>26</v>
      </c>
    </row>
    <row r="173" spans="1:13" x14ac:dyDescent="0.3">
      <c r="A173" t="s">
        <v>378</v>
      </c>
      <c r="B173" s="4">
        <v>45324</v>
      </c>
      <c r="C173" s="6">
        <v>0.99861111111111112</v>
      </c>
      <c r="D173" t="s">
        <v>379</v>
      </c>
      <c r="E173" t="s">
        <v>69</v>
      </c>
      <c r="F173">
        <v>24</v>
      </c>
      <c r="G173" t="s">
        <v>369</v>
      </c>
      <c r="H173" t="s">
        <v>23</v>
      </c>
      <c r="I173" t="s">
        <v>24</v>
      </c>
      <c r="K173">
        <v>37</v>
      </c>
      <c r="L173" t="s">
        <v>25</v>
      </c>
      <c r="M173" t="s">
        <v>30</v>
      </c>
    </row>
    <row r="174" spans="1:13" x14ac:dyDescent="0.3">
      <c r="A174" t="s">
        <v>380</v>
      </c>
      <c r="B174" s="4">
        <v>45348</v>
      </c>
      <c r="C174" s="6">
        <v>0.81736111111111109</v>
      </c>
      <c r="D174" t="s">
        <v>381</v>
      </c>
      <c r="E174" t="s">
        <v>69</v>
      </c>
      <c r="F174">
        <v>50</v>
      </c>
      <c r="G174" t="s">
        <v>369</v>
      </c>
      <c r="H174" t="s">
        <v>23</v>
      </c>
      <c r="I174" t="s">
        <v>24</v>
      </c>
      <c r="K174">
        <v>60</v>
      </c>
      <c r="L174" t="s">
        <v>56</v>
      </c>
      <c r="M174" t="s">
        <v>30</v>
      </c>
    </row>
    <row r="175" spans="1:13" x14ac:dyDescent="0.3">
      <c r="A175" t="s">
        <v>382</v>
      </c>
      <c r="B175" s="4">
        <v>45332</v>
      </c>
      <c r="C175" s="6">
        <v>0.35416666666666669</v>
      </c>
      <c r="D175" t="s">
        <v>383</v>
      </c>
      <c r="E175" t="s">
        <v>21</v>
      </c>
      <c r="F175">
        <v>37</v>
      </c>
      <c r="G175" t="s">
        <v>369</v>
      </c>
      <c r="H175" t="s">
        <v>23</v>
      </c>
      <c r="I175" t="s">
        <v>24</v>
      </c>
      <c r="K175">
        <v>36</v>
      </c>
      <c r="L175" t="s">
        <v>36</v>
      </c>
      <c r="M175" t="s">
        <v>30</v>
      </c>
    </row>
    <row r="176" spans="1:13" x14ac:dyDescent="0.3">
      <c r="A176" t="s">
        <v>384</v>
      </c>
      <c r="B176" s="4">
        <v>45327</v>
      </c>
      <c r="C176" s="6">
        <v>0.47569444444444442</v>
      </c>
      <c r="D176" t="s">
        <v>385</v>
      </c>
      <c r="E176" t="s">
        <v>21</v>
      </c>
      <c r="F176">
        <v>10</v>
      </c>
      <c r="G176" t="s">
        <v>386</v>
      </c>
      <c r="H176" t="s">
        <v>23</v>
      </c>
      <c r="I176" t="s">
        <v>98</v>
      </c>
      <c r="K176">
        <v>44</v>
      </c>
      <c r="L176" t="s">
        <v>48</v>
      </c>
      <c r="M176" t="s">
        <v>30</v>
      </c>
    </row>
    <row r="177" spans="1:13" x14ac:dyDescent="0.3">
      <c r="A177" t="s">
        <v>387</v>
      </c>
      <c r="B177" s="4">
        <v>45345</v>
      </c>
      <c r="C177" s="6">
        <v>0.86944444444444446</v>
      </c>
      <c r="D177" t="s">
        <v>388</v>
      </c>
      <c r="E177" t="s">
        <v>69</v>
      </c>
      <c r="F177">
        <v>33</v>
      </c>
      <c r="G177" t="s">
        <v>386</v>
      </c>
      <c r="H177" t="s">
        <v>23</v>
      </c>
      <c r="I177" t="s">
        <v>98</v>
      </c>
      <c r="K177">
        <v>37</v>
      </c>
      <c r="L177" t="s">
        <v>36</v>
      </c>
      <c r="M177" t="s">
        <v>30</v>
      </c>
    </row>
    <row r="178" spans="1:13" x14ac:dyDescent="0.3">
      <c r="A178" t="s">
        <v>389</v>
      </c>
      <c r="B178" s="4">
        <v>45348</v>
      </c>
      <c r="C178" s="6">
        <v>0.97083333333333333</v>
      </c>
      <c r="D178" t="s">
        <v>390</v>
      </c>
      <c r="E178" t="s">
        <v>69</v>
      </c>
      <c r="F178">
        <v>41</v>
      </c>
      <c r="G178" t="s">
        <v>386</v>
      </c>
      <c r="H178" t="s">
        <v>23</v>
      </c>
      <c r="I178" t="s">
        <v>98</v>
      </c>
      <c r="K178">
        <v>55</v>
      </c>
      <c r="L178" t="s">
        <v>56</v>
      </c>
      <c r="M178" t="s">
        <v>30</v>
      </c>
    </row>
    <row r="179" spans="1:13" x14ac:dyDescent="0.3">
      <c r="A179" t="s">
        <v>391</v>
      </c>
      <c r="B179" s="4">
        <v>45334</v>
      </c>
      <c r="C179" s="6">
        <v>6.5277777777777782E-2</v>
      </c>
      <c r="D179" t="s">
        <v>392</v>
      </c>
      <c r="E179" t="s">
        <v>69</v>
      </c>
      <c r="F179">
        <v>57</v>
      </c>
      <c r="G179" t="s">
        <v>386</v>
      </c>
      <c r="H179" t="s">
        <v>23</v>
      </c>
      <c r="I179" t="s">
        <v>98</v>
      </c>
      <c r="K179">
        <v>11</v>
      </c>
      <c r="L179" t="s">
        <v>33</v>
      </c>
      <c r="M179" t="s">
        <v>26</v>
      </c>
    </row>
    <row r="180" spans="1:13" x14ac:dyDescent="0.3">
      <c r="A180" t="s">
        <v>393</v>
      </c>
      <c r="B180" s="4">
        <v>45330</v>
      </c>
      <c r="C180" s="6">
        <v>0.92361111111111116</v>
      </c>
      <c r="D180" t="s">
        <v>394</v>
      </c>
      <c r="E180" t="s">
        <v>21</v>
      </c>
      <c r="F180">
        <v>69</v>
      </c>
      <c r="G180" t="s">
        <v>386</v>
      </c>
      <c r="H180" t="s">
        <v>23</v>
      </c>
      <c r="I180" t="s">
        <v>98</v>
      </c>
      <c r="K180">
        <v>38</v>
      </c>
      <c r="L180" t="s">
        <v>53</v>
      </c>
      <c r="M180" t="s">
        <v>30</v>
      </c>
    </row>
    <row r="181" spans="1:13" x14ac:dyDescent="0.3">
      <c r="A181" t="s">
        <v>395</v>
      </c>
      <c r="B181" s="4">
        <v>45349</v>
      </c>
      <c r="C181" s="6">
        <v>0.18680555555555556</v>
      </c>
      <c r="D181" t="s">
        <v>396</v>
      </c>
      <c r="E181" t="s">
        <v>21</v>
      </c>
      <c r="F181">
        <v>67</v>
      </c>
      <c r="G181" t="s">
        <v>386</v>
      </c>
      <c r="H181" t="s">
        <v>23</v>
      </c>
      <c r="I181" t="s">
        <v>98</v>
      </c>
      <c r="K181">
        <v>16</v>
      </c>
      <c r="L181" t="s">
        <v>53</v>
      </c>
      <c r="M181" t="s">
        <v>26</v>
      </c>
    </row>
    <row r="182" spans="1:13" x14ac:dyDescent="0.3">
      <c r="A182" t="s">
        <v>397</v>
      </c>
      <c r="B182" s="4">
        <v>45347</v>
      </c>
      <c r="C182" s="6">
        <v>0.53125</v>
      </c>
      <c r="D182" t="s">
        <v>398</v>
      </c>
      <c r="E182" t="s">
        <v>21</v>
      </c>
      <c r="F182">
        <v>58</v>
      </c>
      <c r="G182" t="s">
        <v>386</v>
      </c>
      <c r="H182" t="s">
        <v>23</v>
      </c>
      <c r="I182" t="s">
        <v>98</v>
      </c>
      <c r="K182">
        <v>35</v>
      </c>
      <c r="L182" t="s">
        <v>33</v>
      </c>
      <c r="M182" t="s">
        <v>30</v>
      </c>
    </row>
    <row r="183" spans="1:13" x14ac:dyDescent="0.3">
      <c r="A183" t="s">
        <v>399</v>
      </c>
      <c r="B183" s="4">
        <v>45340</v>
      </c>
      <c r="C183" s="6">
        <v>0.80069444444444449</v>
      </c>
      <c r="D183" t="s">
        <v>400</v>
      </c>
      <c r="E183" t="s">
        <v>21</v>
      </c>
      <c r="F183">
        <v>67</v>
      </c>
      <c r="G183" t="s">
        <v>386</v>
      </c>
      <c r="H183" t="s">
        <v>23</v>
      </c>
      <c r="I183" t="s">
        <v>24</v>
      </c>
      <c r="K183">
        <v>36</v>
      </c>
      <c r="L183" t="s">
        <v>53</v>
      </c>
      <c r="M183" t="s">
        <v>30</v>
      </c>
    </row>
    <row r="184" spans="1:13" x14ac:dyDescent="0.3">
      <c r="A184" t="s">
        <v>401</v>
      </c>
      <c r="B184" s="4">
        <v>45348</v>
      </c>
      <c r="C184" s="6">
        <v>0.41736111111111113</v>
      </c>
      <c r="D184" t="s">
        <v>402</v>
      </c>
      <c r="E184" t="s">
        <v>69</v>
      </c>
      <c r="F184">
        <v>73</v>
      </c>
      <c r="G184" t="s">
        <v>386</v>
      </c>
      <c r="H184" t="s">
        <v>23</v>
      </c>
      <c r="I184" t="s">
        <v>24</v>
      </c>
      <c r="K184">
        <v>51</v>
      </c>
      <c r="L184" t="s">
        <v>29</v>
      </c>
      <c r="M184" t="s">
        <v>30</v>
      </c>
    </row>
    <row r="185" spans="1:13" x14ac:dyDescent="0.3">
      <c r="A185" t="s">
        <v>403</v>
      </c>
      <c r="B185" s="4">
        <v>45337</v>
      </c>
      <c r="C185" s="6">
        <v>0.6069444444444444</v>
      </c>
      <c r="D185" t="s">
        <v>404</v>
      </c>
      <c r="E185" t="s">
        <v>69</v>
      </c>
      <c r="F185">
        <v>71</v>
      </c>
      <c r="G185" t="s">
        <v>386</v>
      </c>
      <c r="H185" t="s">
        <v>23</v>
      </c>
      <c r="I185" t="s">
        <v>24</v>
      </c>
      <c r="K185">
        <v>42</v>
      </c>
      <c r="L185" t="s">
        <v>29</v>
      </c>
      <c r="M185" t="s">
        <v>30</v>
      </c>
    </row>
    <row r="186" spans="1:13" x14ac:dyDescent="0.3">
      <c r="A186" t="s">
        <v>405</v>
      </c>
      <c r="B186" s="4">
        <v>45334</v>
      </c>
      <c r="C186" s="6">
        <v>2.013888888888889E-2</v>
      </c>
      <c r="D186" t="s">
        <v>406</v>
      </c>
      <c r="E186" t="s">
        <v>69</v>
      </c>
      <c r="F186">
        <v>40</v>
      </c>
      <c r="G186" t="s">
        <v>386</v>
      </c>
      <c r="H186" t="s">
        <v>23</v>
      </c>
      <c r="I186" t="s">
        <v>24</v>
      </c>
      <c r="K186">
        <v>16</v>
      </c>
      <c r="L186" t="s">
        <v>36</v>
      </c>
      <c r="M186" t="s">
        <v>26</v>
      </c>
    </row>
    <row r="187" spans="1:13" x14ac:dyDescent="0.3">
      <c r="A187" t="s">
        <v>407</v>
      </c>
      <c r="B187" s="4">
        <v>45348</v>
      </c>
      <c r="C187" s="6">
        <v>0.10069444444444445</v>
      </c>
      <c r="D187" t="s">
        <v>408</v>
      </c>
      <c r="E187" t="s">
        <v>21</v>
      </c>
      <c r="F187">
        <v>8</v>
      </c>
      <c r="G187" t="s">
        <v>386</v>
      </c>
      <c r="H187" t="s">
        <v>23</v>
      </c>
      <c r="I187" t="s">
        <v>24</v>
      </c>
      <c r="K187">
        <v>17</v>
      </c>
      <c r="L187" t="s">
        <v>48</v>
      </c>
      <c r="M187" t="s">
        <v>26</v>
      </c>
    </row>
    <row r="188" spans="1:13" x14ac:dyDescent="0.3">
      <c r="A188" t="s">
        <v>409</v>
      </c>
      <c r="B188" s="4">
        <v>45335</v>
      </c>
      <c r="C188" s="6">
        <v>0.5756944444444444</v>
      </c>
      <c r="D188" t="s">
        <v>410</v>
      </c>
      <c r="E188" t="s">
        <v>69</v>
      </c>
      <c r="F188">
        <v>35</v>
      </c>
      <c r="G188" t="s">
        <v>386</v>
      </c>
      <c r="H188" t="s">
        <v>411</v>
      </c>
      <c r="I188" t="s">
        <v>98</v>
      </c>
      <c r="K188">
        <v>33</v>
      </c>
      <c r="L188" t="s">
        <v>36</v>
      </c>
      <c r="M188" t="s">
        <v>30</v>
      </c>
    </row>
    <row r="189" spans="1:13" x14ac:dyDescent="0.3">
      <c r="A189" t="s">
        <v>412</v>
      </c>
      <c r="B189" s="4">
        <v>45348</v>
      </c>
      <c r="C189" s="6">
        <v>0.30555555555555558</v>
      </c>
      <c r="D189" t="s">
        <v>413</v>
      </c>
      <c r="E189" t="s">
        <v>21</v>
      </c>
      <c r="F189">
        <v>4</v>
      </c>
      <c r="G189" t="s">
        <v>386</v>
      </c>
      <c r="H189" t="s">
        <v>411</v>
      </c>
      <c r="I189" t="s">
        <v>24</v>
      </c>
      <c r="K189">
        <v>58</v>
      </c>
      <c r="L189" t="s">
        <v>48</v>
      </c>
      <c r="M189" t="s">
        <v>30</v>
      </c>
    </row>
    <row r="190" spans="1:13" x14ac:dyDescent="0.3">
      <c r="A190" t="s">
        <v>414</v>
      </c>
      <c r="B190" s="4">
        <v>45351</v>
      </c>
      <c r="C190" s="6">
        <v>5.6944444444444443E-2</v>
      </c>
      <c r="D190" t="s">
        <v>415</v>
      </c>
      <c r="E190" t="s">
        <v>21</v>
      </c>
      <c r="F190">
        <v>73</v>
      </c>
      <c r="G190" t="s">
        <v>369</v>
      </c>
      <c r="H190" t="s">
        <v>411</v>
      </c>
      <c r="I190" t="s">
        <v>24</v>
      </c>
      <c r="K190">
        <v>27</v>
      </c>
      <c r="L190" t="s">
        <v>29</v>
      </c>
      <c r="M190" t="s">
        <v>26</v>
      </c>
    </row>
    <row r="191" spans="1:13" x14ac:dyDescent="0.3">
      <c r="A191" t="s">
        <v>416</v>
      </c>
      <c r="B191" s="4">
        <v>45347</v>
      </c>
      <c r="C191" s="6">
        <v>0.69305555555555554</v>
      </c>
      <c r="D191" t="s">
        <v>417</v>
      </c>
      <c r="E191" t="s">
        <v>21</v>
      </c>
      <c r="F191">
        <v>70</v>
      </c>
      <c r="G191" t="s">
        <v>369</v>
      </c>
      <c r="H191" t="s">
        <v>411</v>
      </c>
      <c r="I191" t="s">
        <v>24</v>
      </c>
      <c r="K191">
        <v>49</v>
      </c>
      <c r="L191" t="s">
        <v>53</v>
      </c>
      <c r="M191" t="s">
        <v>30</v>
      </c>
    </row>
    <row r="192" spans="1:13" x14ac:dyDescent="0.3">
      <c r="A192" t="s">
        <v>418</v>
      </c>
      <c r="B192" s="4">
        <v>45344</v>
      </c>
      <c r="C192" s="6">
        <v>0.67083333333333328</v>
      </c>
      <c r="D192" t="s">
        <v>419</v>
      </c>
      <c r="E192" t="s">
        <v>69</v>
      </c>
      <c r="F192">
        <v>32</v>
      </c>
      <c r="G192" t="s">
        <v>307</v>
      </c>
      <c r="H192" t="s">
        <v>411</v>
      </c>
      <c r="I192" t="s">
        <v>24</v>
      </c>
      <c r="K192">
        <v>39</v>
      </c>
      <c r="L192" t="s">
        <v>36</v>
      </c>
      <c r="M192" t="s">
        <v>30</v>
      </c>
    </row>
    <row r="193" spans="1:13" x14ac:dyDescent="0.3">
      <c r="A193" t="s">
        <v>420</v>
      </c>
      <c r="B193" s="4">
        <v>45328</v>
      </c>
      <c r="C193" s="6">
        <v>0.44236111111111109</v>
      </c>
      <c r="D193" t="s">
        <v>421</v>
      </c>
      <c r="E193" t="s">
        <v>21</v>
      </c>
      <c r="F193">
        <v>56</v>
      </c>
      <c r="G193" t="s">
        <v>307</v>
      </c>
      <c r="H193" t="s">
        <v>411</v>
      </c>
      <c r="I193" t="s">
        <v>24</v>
      </c>
      <c r="K193">
        <v>40</v>
      </c>
      <c r="L193" t="s">
        <v>33</v>
      </c>
      <c r="M193" t="s">
        <v>30</v>
      </c>
    </row>
    <row r="194" spans="1:13" x14ac:dyDescent="0.3">
      <c r="A194" t="s">
        <v>422</v>
      </c>
      <c r="B194" s="4">
        <v>45327</v>
      </c>
      <c r="C194" s="6">
        <v>0.66180555555555554</v>
      </c>
      <c r="D194" t="s">
        <v>423</v>
      </c>
      <c r="E194" t="s">
        <v>69</v>
      </c>
      <c r="F194">
        <v>3</v>
      </c>
      <c r="G194" t="s">
        <v>307</v>
      </c>
      <c r="H194" t="s">
        <v>411</v>
      </c>
      <c r="I194" t="s">
        <v>24</v>
      </c>
      <c r="K194">
        <v>42</v>
      </c>
      <c r="L194" t="s">
        <v>48</v>
      </c>
      <c r="M194" t="s">
        <v>30</v>
      </c>
    </row>
    <row r="195" spans="1:13" x14ac:dyDescent="0.3">
      <c r="A195" t="s">
        <v>424</v>
      </c>
      <c r="B195" s="4">
        <v>45333</v>
      </c>
      <c r="C195" s="6">
        <v>0.90069444444444446</v>
      </c>
      <c r="D195" t="s">
        <v>425</v>
      </c>
      <c r="E195" t="s">
        <v>21</v>
      </c>
      <c r="F195">
        <v>38</v>
      </c>
      <c r="G195" t="s">
        <v>307</v>
      </c>
      <c r="H195" t="s">
        <v>411</v>
      </c>
      <c r="I195" t="s">
        <v>24</v>
      </c>
      <c r="K195">
        <v>35</v>
      </c>
      <c r="L195" t="s">
        <v>36</v>
      </c>
      <c r="M195" t="s">
        <v>30</v>
      </c>
    </row>
    <row r="196" spans="1:13" x14ac:dyDescent="0.3">
      <c r="A196" t="s">
        <v>426</v>
      </c>
      <c r="B196" s="4">
        <v>45323</v>
      </c>
      <c r="C196" s="6">
        <v>0.27152777777777776</v>
      </c>
      <c r="D196" t="s">
        <v>427</v>
      </c>
      <c r="E196" t="s">
        <v>69</v>
      </c>
      <c r="F196">
        <v>48</v>
      </c>
      <c r="G196" t="s">
        <v>307</v>
      </c>
      <c r="H196" t="s">
        <v>411</v>
      </c>
      <c r="I196" t="s">
        <v>98</v>
      </c>
      <c r="K196">
        <v>25</v>
      </c>
      <c r="L196" t="s">
        <v>56</v>
      </c>
      <c r="M196" t="s">
        <v>26</v>
      </c>
    </row>
    <row r="197" spans="1:13" x14ac:dyDescent="0.3">
      <c r="A197" t="s">
        <v>428</v>
      </c>
      <c r="B197" s="4">
        <v>45326</v>
      </c>
      <c r="C197" s="6">
        <v>3.125E-2</v>
      </c>
      <c r="D197" t="s">
        <v>429</v>
      </c>
      <c r="E197" t="s">
        <v>69</v>
      </c>
      <c r="F197">
        <v>52</v>
      </c>
      <c r="G197" t="s">
        <v>307</v>
      </c>
      <c r="H197" t="s">
        <v>411</v>
      </c>
      <c r="I197" t="s">
        <v>98</v>
      </c>
      <c r="K197">
        <v>52</v>
      </c>
      <c r="L197" t="s">
        <v>33</v>
      </c>
      <c r="M197" t="s">
        <v>30</v>
      </c>
    </row>
    <row r="198" spans="1:13" x14ac:dyDescent="0.3">
      <c r="A198" t="s">
        <v>430</v>
      </c>
      <c r="B198" s="4">
        <v>45329</v>
      </c>
      <c r="C198" s="6">
        <v>0.23402777777777778</v>
      </c>
      <c r="D198" t="s">
        <v>431</v>
      </c>
      <c r="E198" t="s">
        <v>69</v>
      </c>
      <c r="F198">
        <v>60</v>
      </c>
      <c r="G198" t="s">
        <v>338</v>
      </c>
      <c r="H198" t="s">
        <v>411</v>
      </c>
      <c r="I198" t="s">
        <v>24</v>
      </c>
      <c r="K198">
        <v>21</v>
      </c>
      <c r="L198" t="s">
        <v>33</v>
      </c>
      <c r="M198" t="s">
        <v>26</v>
      </c>
    </row>
    <row r="199" spans="1:13" x14ac:dyDescent="0.3">
      <c r="A199" t="s">
        <v>432</v>
      </c>
      <c r="B199" s="4">
        <v>45350</v>
      </c>
      <c r="C199" s="6">
        <v>0.39444444444444443</v>
      </c>
      <c r="D199" t="s">
        <v>433</v>
      </c>
      <c r="E199" t="s">
        <v>21</v>
      </c>
      <c r="F199">
        <v>66</v>
      </c>
      <c r="G199" t="s">
        <v>338</v>
      </c>
      <c r="H199" t="s">
        <v>411</v>
      </c>
      <c r="I199" t="s">
        <v>98</v>
      </c>
      <c r="K199">
        <v>50</v>
      </c>
      <c r="L199" t="s">
        <v>53</v>
      </c>
      <c r="M199" t="s">
        <v>30</v>
      </c>
    </row>
    <row r="200" spans="1:13" x14ac:dyDescent="0.3">
      <c r="A200" t="s">
        <v>434</v>
      </c>
      <c r="B200" s="4">
        <v>45342</v>
      </c>
      <c r="C200" s="6">
        <v>0.56041666666666667</v>
      </c>
      <c r="D200" t="s">
        <v>435</v>
      </c>
      <c r="E200" t="s">
        <v>21</v>
      </c>
      <c r="F200">
        <v>70</v>
      </c>
      <c r="G200" t="s">
        <v>338</v>
      </c>
      <c r="H200" t="s">
        <v>411</v>
      </c>
      <c r="I200" t="s">
        <v>98</v>
      </c>
      <c r="K200">
        <v>18</v>
      </c>
      <c r="L200" t="s">
        <v>53</v>
      </c>
      <c r="M200" t="s">
        <v>26</v>
      </c>
    </row>
    <row r="201" spans="1:13" x14ac:dyDescent="0.3">
      <c r="A201" t="s">
        <v>436</v>
      </c>
      <c r="B201" s="4">
        <v>45337</v>
      </c>
      <c r="C201" s="6">
        <v>0.37222222222222223</v>
      </c>
      <c r="D201" t="s">
        <v>437</v>
      </c>
      <c r="E201" t="s">
        <v>21</v>
      </c>
      <c r="F201">
        <v>75</v>
      </c>
      <c r="G201" t="s">
        <v>338</v>
      </c>
      <c r="H201" t="s">
        <v>411</v>
      </c>
      <c r="I201" t="s">
        <v>24</v>
      </c>
      <c r="K201">
        <v>10</v>
      </c>
      <c r="L201" t="s">
        <v>29</v>
      </c>
      <c r="M201" t="s">
        <v>26</v>
      </c>
    </row>
    <row r="202" spans="1:13" x14ac:dyDescent="0.3">
      <c r="A202" t="s">
        <v>438</v>
      </c>
      <c r="B202" s="4">
        <v>45341</v>
      </c>
      <c r="C202" s="6">
        <v>2.5694444444444443E-2</v>
      </c>
      <c r="D202" t="s">
        <v>439</v>
      </c>
      <c r="E202" t="s">
        <v>21</v>
      </c>
      <c r="F202">
        <v>38</v>
      </c>
      <c r="G202" t="s">
        <v>338</v>
      </c>
      <c r="H202" t="s">
        <v>411</v>
      </c>
      <c r="I202" t="s">
        <v>24</v>
      </c>
      <c r="K202">
        <v>38</v>
      </c>
      <c r="L202" t="s">
        <v>36</v>
      </c>
      <c r="M202" t="s">
        <v>30</v>
      </c>
    </row>
    <row r="203" spans="1:13" x14ac:dyDescent="0.3">
      <c r="A203" t="s">
        <v>440</v>
      </c>
      <c r="B203" s="4">
        <v>45344</v>
      </c>
      <c r="C203" s="6">
        <v>6.9444444444444441E-3</v>
      </c>
      <c r="D203" t="s">
        <v>441</v>
      </c>
      <c r="E203" t="s">
        <v>21</v>
      </c>
      <c r="F203">
        <v>23</v>
      </c>
      <c r="G203" t="s">
        <v>214</v>
      </c>
      <c r="H203" t="s">
        <v>411</v>
      </c>
      <c r="I203" t="s">
        <v>98</v>
      </c>
      <c r="K203">
        <v>47</v>
      </c>
      <c r="L203" t="s">
        <v>25</v>
      </c>
      <c r="M203" t="s">
        <v>30</v>
      </c>
    </row>
    <row r="204" spans="1:13" x14ac:dyDescent="0.3">
      <c r="A204" t="s">
        <v>442</v>
      </c>
      <c r="B204" s="4">
        <v>45327</v>
      </c>
      <c r="C204" s="6">
        <v>0.8041666666666667</v>
      </c>
      <c r="D204" t="s">
        <v>443</v>
      </c>
      <c r="E204" t="s">
        <v>21</v>
      </c>
      <c r="F204">
        <v>70</v>
      </c>
      <c r="G204" t="s">
        <v>214</v>
      </c>
      <c r="H204" t="s">
        <v>411</v>
      </c>
      <c r="I204" t="s">
        <v>98</v>
      </c>
      <c r="K204">
        <v>28</v>
      </c>
      <c r="L204" t="s">
        <v>53</v>
      </c>
      <c r="M204" t="s">
        <v>26</v>
      </c>
    </row>
    <row r="205" spans="1:13" x14ac:dyDescent="0.3">
      <c r="A205" t="s">
        <v>444</v>
      </c>
      <c r="B205" s="4">
        <v>45348</v>
      </c>
      <c r="C205" s="6">
        <v>0.18333333333333332</v>
      </c>
      <c r="D205" t="s">
        <v>445</v>
      </c>
      <c r="E205" t="s">
        <v>21</v>
      </c>
      <c r="F205">
        <v>58</v>
      </c>
      <c r="G205" t="s">
        <v>214</v>
      </c>
      <c r="H205" t="s">
        <v>411</v>
      </c>
      <c r="I205" t="s">
        <v>98</v>
      </c>
      <c r="K205">
        <v>59</v>
      </c>
      <c r="L205" t="s">
        <v>33</v>
      </c>
      <c r="M205" t="s">
        <v>30</v>
      </c>
    </row>
    <row r="206" spans="1:13" x14ac:dyDescent="0.3">
      <c r="A206" t="s">
        <v>446</v>
      </c>
      <c r="B206" s="4">
        <v>45327</v>
      </c>
      <c r="C206" s="6">
        <v>0.37083333333333335</v>
      </c>
      <c r="D206" t="s">
        <v>447</v>
      </c>
      <c r="E206" t="s">
        <v>21</v>
      </c>
      <c r="F206">
        <v>11</v>
      </c>
      <c r="G206" t="s">
        <v>214</v>
      </c>
      <c r="H206" t="s">
        <v>411</v>
      </c>
      <c r="I206" t="s">
        <v>98</v>
      </c>
      <c r="K206">
        <v>32</v>
      </c>
      <c r="L206" t="s">
        <v>39</v>
      </c>
      <c r="M206" t="s">
        <v>30</v>
      </c>
    </row>
    <row r="207" spans="1:13" x14ac:dyDescent="0.3">
      <c r="A207" t="s">
        <v>448</v>
      </c>
      <c r="B207" s="4">
        <v>45347</v>
      </c>
      <c r="C207" s="6">
        <v>0.74444444444444446</v>
      </c>
      <c r="D207" t="s">
        <v>449</v>
      </c>
      <c r="E207" t="s">
        <v>21</v>
      </c>
      <c r="F207">
        <v>37</v>
      </c>
      <c r="G207" t="s">
        <v>214</v>
      </c>
      <c r="H207" t="s">
        <v>411</v>
      </c>
      <c r="I207" t="s">
        <v>24</v>
      </c>
      <c r="K207">
        <v>39</v>
      </c>
      <c r="L207" t="s">
        <v>36</v>
      </c>
      <c r="M207" t="s">
        <v>30</v>
      </c>
    </row>
    <row r="208" spans="1:13" x14ac:dyDescent="0.3">
      <c r="A208" t="s">
        <v>450</v>
      </c>
      <c r="B208" s="4">
        <v>45332</v>
      </c>
      <c r="C208" s="6">
        <v>0.39652777777777776</v>
      </c>
      <c r="D208" t="s">
        <v>451</v>
      </c>
      <c r="E208" t="s">
        <v>21</v>
      </c>
      <c r="F208">
        <v>42</v>
      </c>
      <c r="G208" t="s">
        <v>214</v>
      </c>
      <c r="H208" t="s">
        <v>411</v>
      </c>
      <c r="I208" t="s">
        <v>24</v>
      </c>
      <c r="K208">
        <v>53</v>
      </c>
      <c r="L208" t="s">
        <v>56</v>
      </c>
      <c r="M208" t="s">
        <v>30</v>
      </c>
    </row>
    <row r="209" spans="1:13" x14ac:dyDescent="0.3">
      <c r="A209" t="s">
        <v>452</v>
      </c>
      <c r="B209" s="4">
        <v>45332</v>
      </c>
      <c r="C209" s="6">
        <v>0.92152777777777772</v>
      </c>
      <c r="D209" t="s">
        <v>453</v>
      </c>
      <c r="E209" t="s">
        <v>21</v>
      </c>
      <c r="F209">
        <v>64</v>
      </c>
      <c r="G209" t="s">
        <v>214</v>
      </c>
      <c r="H209" t="s">
        <v>411</v>
      </c>
      <c r="I209" t="s">
        <v>24</v>
      </c>
      <c r="K209">
        <v>46</v>
      </c>
      <c r="L209" t="s">
        <v>53</v>
      </c>
      <c r="M209" t="s">
        <v>30</v>
      </c>
    </row>
    <row r="210" spans="1:13" x14ac:dyDescent="0.3">
      <c r="A210" t="s">
        <v>454</v>
      </c>
      <c r="B210" s="4">
        <v>45332</v>
      </c>
      <c r="C210" s="6">
        <v>0.45833333333333331</v>
      </c>
      <c r="D210" t="s">
        <v>455</v>
      </c>
      <c r="E210" t="s">
        <v>21</v>
      </c>
      <c r="F210">
        <v>15</v>
      </c>
      <c r="G210" t="s">
        <v>214</v>
      </c>
      <c r="H210" t="s">
        <v>411</v>
      </c>
      <c r="I210" t="s">
        <v>24</v>
      </c>
      <c r="K210">
        <v>57</v>
      </c>
      <c r="L210" t="s">
        <v>39</v>
      </c>
      <c r="M210" t="s">
        <v>30</v>
      </c>
    </row>
    <row r="211" spans="1:13" x14ac:dyDescent="0.3">
      <c r="A211" t="s">
        <v>456</v>
      </c>
      <c r="B211" s="4">
        <v>45332</v>
      </c>
      <c r="C211" s="6">
        <v>9.930555555555555E-2</v>
      </c>
      <c r="D211" t="s">
        <v>457</v>
      </c>
      <c r="E211" t="s">
        <v>21</v>
      </c>
      <c r="F211">
        <v>42</v>
      </c>
      <c r="G211" t="s">
        <v>214</v>
      </c>
      <c r="H211" t="s">
        <v>411</v>
      </c>
      <c r="I211" t="s">
        <v>24</v>
      </c>
      <c r="K211">
        <v>17</v>
      </c>
      <c r="L211" t="s">
        <v>56</v>
      </c>
      <c r="M211" t="s">
        <v>26</v>
      </c>
    </row>
    <row r="212" spans="1:13" x14ac:dyDescent="0.3">
      <c r="A212" t="s">
        <v>458</v>
      </c>
      <c r="B212" s="4">
        <v>45326</v>
      </c>
      <c r="C212" s="6">
        <v>0.54305555555555551</v>
      </c>
      <c r="D212" t="s">
        <v>459</v>
      </c>
      <c r="E212" t="s">
        <v>69</v>
      </c>
      <c r="F212">
        <v>78</v>
      </c>
      <c r="G212" t="s">
        <v>214</v>
      </c>
      <c r="H212" t="s">
        <v>411</v>
      </c>
      <c r="I212" t="s">
        <v>98</v>
      </c>
      <c r="K212">
        <v>22</v>
      </c>
      <c r="L212" t="s">
        <v>29</v>
      </c>
      <c r="M212" t="s">
        <v>26</v>
      </c>
    </row>
    <row r="213" spans="1:13" x14ac:dyDescent="0.3">
      <c r="A213" t="s">
        <v>460</v>
      </c>
      <c r="B213" s="4">
        <v>45333</v>
      </c>
      <c r="C213" s="6">
        <v>0.50138888888888888</v>
      </c>
      <c r="D213" t="s">
        <v>461</v>
      </c>
      <c r="E213" t="s">
        <v>69</v>
      </c>
      <c r="F213">
        <v>8</v>
      </c>
      <c r="G213" t="s">
        <v>214</v>
      </c>
      <c r="H213" t="s">
        <v>411</v>
      </c>
      <c r="I213" t="s">
        <v>98</v>
      </c>
      <c r="K213">
        <v>26</v>
      </c>
      <c r="L213" t="s">
        <v>48</v>
      </c>
      <c r="M213" t="s">
        <v>26</v>
      </c>
    </row>
    <row r="214" spans="1:13" x14ac:dyDescent="0.3">
      <c r="A214" t="s">
        <v>462</v>
      </c>
      <c r="B214" s="4">
        <v>45339</v>
      </c>
      <c r="C214" s="6">
        <v>0.26111111111111113</v>
      </c>
      <c r="D214" t="s">
        <v>463</v>
      </c>
      <c r="E214" t="s">
        <v>69</v>
      </c>
      <c r="F214">
        <v>34</v>
      </c>
      <c r="G214" t="s">
        <v>214</v>
      </c>
      <c r="H214" t="s">
        <v>411</v>
      </c>
      <c r="I214" t="s">
        <v>98</v>
      </c>
      <c r="K214">
        <v>58</v>
      </c>
      <c r="L214" t="s">
        <v>36</v>
      </c>
      <c r="M214" t="s">
        <v>30</v>
      </c>
    </row>
    <row r="215" spans="1:13" x14ac:dyDescent="0.3">
      <c r="A215" t="s">
        <v>464</v>
      </c>
      <c r="B215" s="4">
        <v>45343</v>
      </c>
      <c r="C215" s="6">
        <v>0.58125000000000004</v>
      </c>
      <c r="D215" t="s">
        <v>465</v>
      </c>
      <c r="E215" t="s">
        <v>69</v>
      </c>
      <c r="F215">
        <v>19</v>
      </c>
      <c r="G215" t="s">
        <v>214</v>
      </c>
      <c r="H215" t="s">
        <v>411</v>
      </c>
      <c r="I215" t="s">
        <v>98</v>
      </c>
      <c r="K215">
        <v>24</v>
      </c>
      <c r="L215" t="s">
        <v>39</v>
      </c>
      <c r="M215" t="s">
        <v>26</v>
      </c>
    </row>
    <row r="216" spans="1:13" x14ac:dyDescent="0.3">
      <c r="A216" t="s">
        <v>466</v>
      </c>
      <c r="B216" s="4">
        <v>45336</v>
      </c>
      <c r="C216" s="6">
        <v>8.6805555555555552E-2</v>
      </c>
      <c r="D216" t="s">
        <v>467</v>
      </c>
      <c r="E216" t="s">
        <v>69</v>
      </c>
      <c r="F216">
        <v>78</v>
      </c>
      <c r="G216" t="s">
        <v>214</v>
      </c>
      <c r="H216" t="s">
        <v>411</v>
      </c>
      <c r="I216" t="s">
        <v>98</v>
      </c>
      <c r="K216">
        <v>14</v>
      </c>
      <c r="L216" t="s">
        <v>29</v>
      </c>
      <c r="M216" t="s">
        <v>26</v>
      </c>
    </row>
    <row r="217" spans="1:13" x14ac:dyDescent="0.3">
      <c r="A217" t="s">
        <v>468</v>
      </c>
      <c r="B217" s="4">
        <v>45335</v>
      </c>
      <c r="C217" s="6">
        <v>0.21041666666666667</v>
      </c>
      <c r="D217" t="s">
        <v>469</v>
      </c>
      <c r="E217" t="s">
        <v>69</v>
      </c>
      <c r="F217">
        <v>26</v>
      </c>
      <c r="G217" t="s">
        <v>214</v>
      </c>
      <c r="H217" t="s">
        <v>411</v>
      </c>
      <c r="I217" t="s">
        <v>24</v>
      </c>
      <c r="K217">
        <v>55</v>
      </c>
      <c r="L217" t="s">
        <v>25</v>
      </c>
      <c r="M217" t="s">
        <v>30</v>
      </c>
    </row>
    <row r="218" spans="1:13" x14ac:dyDescent="0.3">
      <c r="A218" t="s">
        <v>470</v>
      </c>
      <c r="B218" s="4">
        <v>45329</v>
      </c>
      <c r="C218" s="6">
        <v>0.4777777777777778</v>
      </c>
      <c r="D218" t="s">
        <v>471</v>
      </c>
      <c r="E218" t="s">
        <v>69</v>
      </c>
      <c r="F218">
        <v>44</v>
      </c>
      <c r="G218" t="s">
        <v>214</v>
      </c>
      <c r="H218" t="s">
        <v>411</v>
      </c>
      <c r="I218" t="s">
        <v>24</v>
      </c>
      <c r="K218">
        <v>48</v>
      </c>
      <c r="L218" t="s">
        <v>56</v>
      </c>
      <c r="M218" t="s">
        <v>30</v>
      </c>
    </row>
    <row r="219" spans="1:13" x14ac:dyDescent="0.3">
      <c r="A219" t="s">
        <v>472</v>
      </c>
      <c r="B219" s="4">
        <v>45330</v>
      </c>
      <c r="C219" s="6">
        <v>4.583333333333333E-2</v>
      </c>
      <c r="D219" t="s">
        <v>473</v>
      </c>
      <c r="E219" t="s">
        <v>69</v>
      </c>
      <c r="F219">
        <v>45</v>
      </c>
      <c r="G219" t="s">
        <v>135</v>
      </c>
      <c r="H219" t="s">
        <v>411</v>
      </c>
      <c r="I219" t="s">
        <v>98</v>
      </c>
      <c r="K219">
        <v>18</v>
      </c>
      <c r="L219" t="s">
        <v>56</v>
      </c>
      <c r="M219" t="s">
        <v>26</v>
      </c>
    </row>
    <row r="220" spans="1:13" x14ac:dyDescent="0.3">
      <c r="A220" t="s">
        <v>474</v>
      </c>
      <c r="B220" s="4">
        <v>45333</v>
      </c>
      <c r="C220" s="6">
        <v>0.85833333333333328</v>
      </c>
      <c r="D220" t="s">
        <v>475</v>
      </c>
      <c r="E220" t="s">
        <v>69</v>
      </c>
      <c r="F220">
        <v>14</v>
      </c>
      <c r="G220" t="s">
        <v>135</v>
      </c>
      <c r="H220" t="s">
        <v>411</v>
      </c>
      <c r="I220" t="s">
        <v>98</v>
      </c>
      <c r="K220">
        <v>40</v>
      </c>
      <c r="L220" t="s">
        <v>39</v>
      </c>
      <c r="M220" t="s">
        <v>30</v>
      </c>
    </row>
    <row r="221" spans="1:13" x14ac:dyDescent="0.3">
      <c r="A221" t="s">
        <v>476</v>
      </c>
      <c r="B221" s="4">
        <v>45337</v>
      </c>
      <c r="C221" s="6">
        <v>0.56874999999999998</v>
      </c>
      <c r="D221" t="s">
        <v>477</v>
      </c>
      <c r="E221" t="s">
        <v>69</v>
      </c>
      <c r="F221">
        <v>28</v>
      </c>
      <c r="G221" t="s">
        <v>135</v>
      </c>
      <c r="H221" t="s">
        <v>411</v>
      </c>
      <c r="I221" t="s">
        <v>24</v>
      </c>
      <c r="K221">
        <v>52</v>
      </c>
      <c r="L221" t="s">
        <v>25</v>
      </c>
      <c r="M221" t="s">
        <v>30</v>
      </c>
    </row>
    <row r="222" spans="1:13" x14ac:dyDescent="0.3">
      <c r="A222" t="s">
        <v>478</v>
      </c>
      <c r="B222" s="4">
        <v>45345</v>
      </c>
      <c r="C222" s="6">
        <v>0.80694444444444446</v>
      </c>
      <c r="D222" t="s">
        <v>479</v>
      </c>
      <c r="E222" t="s">
        <v>21</v>
      </c>
      <c r="F222">
        <v>25</v>
      </c>
      <c r="G222" t="s">
        <v>135</v>
      </c>
      <c r="H222" t="s">
        <v>411</v>
      </c>
      <c r="I222" t="s">
        <v>98</v>
      </c>
      <c r="K222">
        <v>57</v>
      </c>
      <c r="L222" t="s">
        <v>25</v>
      </c>
      <c r="M222" t="s">
        <v>30</v>
      </c>
    </row>
    <row r="223" spans="1:13" x14ac:dyDescent="0.3">
      <c r="A223" t="s">
        <v>480</v>
      </c>
      <c r="B223" s="4">
        <v>45326</v>
      </c>
      <c r="C223" s="6">
        <v>0.68263888888888891</v>
      </c>
      <c r="D223" t="s">
        <v>481</v>
      </c>
      <c r="E223" t="s">
        <v>21</v>
      </c>
      <c r="F223">
        <v>49</v>
      </c>
      <c r="G223" t="s">
        <v>135</v>
      </c>
      <c r="H223" t="s">
        <v>411</v>
      </c>
      <c r="I223" t="s">
        <v>98</v>
      </c>
      <c r="K223">
        <v>57</v>
      </c>
      <c r="L223" t="s">
        <v>56</v>
      </c>
      <c r="M223" t="s">
        <v>30</v>
      </c>
    </row>
    <row r="224" spans="1:13" x14ac:dyDescent="0.3">
      <c r="A224" t="s">
        <v>482</v>
      </c>
      <c r="B224" s="4">
        <v>45350</v>
      </c>
      <c r="C224" s="6">
        <v>0.86458333333333337</v>
      </c>
      <c r="D224" t="s">
        <v>483</v>
      </c>
      <c r="E224" t="s">
        <v>21</v>
      </c>
      <c r="F224">
        <v>4</v>
      </c>
      <c r="G224" t="s">
        <v>135</v>
      </c>
      <c r="H224" t="s">
        <v>411</v>
      </c>
      <c r="I224" t="s">
        <v>98</v>
      </c>
      <c r="K224">
        <v>31</v>
      </c>
      <c r="L224" t="s">
        <v>48</v>
      </c>
      <c r="M224" t="s">
        <v>30</v>
      </c>
    </row>
    <row r="225" spans="1:13" x14ac:dyDescent="0.3">
      <c r="A225" t="s">
        <v>484</v>
      </c>
      <c r="B225" s="4">
        <v>45350</v>
      </c>
      <c r="C225" s="6">
        <v>0.51527777777777772</v>
      </c>
      <c r="D225" t="s">
        <v>485</v>
      </c>
      <c r="E225" t="s">
        <v>21</v>
      </c>
      <c r="F225">
        <v>66</v>
      </c>
      <c r="G225" t="s">
        <v>135</v>
      </c>
      <c r="H225" t="s">
        <v>411</v>
      </c>
      <c r="I225" t="s">
        <v>98</v>
      </c>
      <c r="K225">
        <v>49</v>
      </c>
      <c r="L225" t="s">
        <v>53</v>
      </c>
      <c r="M225" t="s">
        <v>30</v>
      </c>
    </row>
    <row r="226" spans="1:13" x14ac:dyDescent="0.3">
      <c r="A226" t="s">
        <v>486</v>
      </c>
      <c r="B226" s="4">
        <v>45326</v>
      </c>
      <c r="C226" s="6">
        <v>0.57847222222222228</v>
      </c>
      <c r="D226" t="s">
        <v>487</v>
      </c>
      <c r="E226" t="s">
        <v>21</v>
      </c>
      <c r="F226">
        <v>15</v>
      </c>
      <c r="G226" t="s">
        <v>135</v>
      </c>
      <c r="H226" t="s">
        <v>411</v>
      </c>
      <c r="I226" t="s">
        <v>24</v>
      </c>
      <c r="K226">
        <v>16</v>
      </c>
      <c r="L226" t="s">
        <v>39</v>
      </c>
      <c r="M226" t="s">
        <v>26</v>
      </c>
    </row>
    <row r="227" spans="1:13" x14ac:dyDescent="0.3">
      <c r="A227" t="s">
        <v>488</v>
      </c>
      <c r="B227" s="4">
        <v>45347</v>
      </c>
      <c r="C227" s="6">
        <v>4.6527777777777779E-2</v>
      </c>
      <c r="D227" t="s">
        <v>489</v>
      </c>
      <c r="E227" t="s">
        <v>21</v>
      </c>
      <c r="F227">
        <v>18</v>
      </c>
      <c r="G227" t="s">
        <v>135</v>
      </c>
      <c r="H227" t="s">
        <v>411</v>
      </c>
      <c r="I227" t="s">
        <v>24</v>
      </c>
      <c r="K227">
        <v>13</v>
      </c>
      <c r="L227" t="s">
        <v>39</v>
      </c>
      <c r="M227" t="s">
        <v>26</v>
      </c>
    </row>
    <row r="228" spans="1:13" x14ac:dyDescent="0.3">
      <c r="A228" t="s">
        <v>490</v>
      </c>
      <c r="B228" s="4">
        <v>45332</v>
      </c>
      <c r="C228" s="6">
        <v>0.47291666666666665</v>
      </c>
      <c r="D228" t="s">
        <v>491</v>
      </c>
      <c r="E228" t="s">
        <v>21</v>
      </c>
      <c r="F228">
        <v>76</v>
      </c>
      <c r="G228" t="s">
        <v>135</v>
      </c>
      <c r="H228" t="s">
        <v>411</v>
      </c>
      <c r="I228" t="s">
        <v>24</v>
      </c>
      <c r="K228">
        <v>38</v>
      </c>
      <c r="L228" t="s">
        <v>29</v>
      </c>
      <c r="M228" t="s">
        <v>30</v>
      </c>
    </row>
    <row r="229" spans="1:13" x14ac:dyDescent="0.3">
      <c r="A229" t="s">
        <v>492</v>
      </c>
      <c r="B229" s="4">
        <v>45346</v>
      </c>
      <c r="C229" s="6">
        <v>0.36249999999999999</v>
      </c>
      <c r="D229" t="s">
        <v>493</v>
      </c>
      <c r="E229" t="s">
        <v>21</v>
      </c>
      <c r="F229">
        <v>74</v>
      </c>
      <c r="G229" t="s">
        <v>135</v>
      </c>
      <c r="H229" t="s">
        <v>411</v>
      </c>
      <c r="I229" t="s">
        <v>24</v>
      </c>
      <c r="K229">
        <v>41</v>
      </c>
      <c r="L229" t="s">
        <v>29</v>
      </c>
      <c r="M229" t="s">
        <v>30</v>
      </c>
    </row>
    <row r="230" spans="1:13" x14ac:dyDescent="0.3">
      <c r="A230" t="s">
        <v>494</v>
      </c>
      <c r="B230" s="4">
        <v>45338</v>
      </c>
      <c r="C230" s="6">
        <v>0.95416666666666672</v>
      </c>
      <c r="D230" t="s">
        <v>495</v>
      </c>
      <c r="E230" t="s">
        <v>21</v>
      </c>
      <c r="F230">
        <v>63</v>
      </c>
      <c r="G230" t="s">
        <v>135</v>
      </c>
      <c r="H230" t="s">
        <v>411</v>
      </c>
      <c r="I230" t="s">
        <v>24</v>
      </c>
      <c r="K230">
        <v>47</v>
      </c>
      <c r="L230" t="s">
        <v>53</v>
      </c>
      <c r="M230" t="s">
        <v>30</v>
      </c>
    </row>
    <row r="231" spans="1:13" x14ac:dyDescent="0.3">
      <c r="A231" t="s">
        <v>496</v>
      </c>
      <c r="B231" s="4">
        <v>45323</v>
      </c>
      <c r="C231" s="6">
        <v>0.29236111111111113</v>
      </c>
      <c r="D231" t="s">
        <v>497</v>
      </c>
      <c r="E231" t="s">
        <v>21</v>
      </c>
      <c r="F231">
        <v>26</v>
      </c>
      <c r="G231" t="s">
        <v>135</v>
      </c>
      <c r="H231" t="s">
        <v>411</v>
      </c>
      <c r="I231" t="s">
        <v>24</v>
      </c>
      <c r="K231">
        <v>12</v>
      </c>
      <c r="L231" t="s">
        <v>25</v>
      </c>
      <c r="M231" t="s">
        <v>26</v>
      </c>
    </row>
    <row r="232" spans="1:13" x14ac:dyDescent="0.3">
      <c r="A232" t="s">
        <v>498</v>
      </c>
      <c r="B232" s="4">
        <v>45337</v>
      </c>
      <c r="C232" s="6">
        <v>0.87708333333333333</v>
      </c>
      <c r="D232" t="s">
        <v>499</v>
      </c>
      <c r="E232" t="s">
        <v>21</v>
      </c>
      <c r="F232">
        <v>11</v>
      </c>
      <c r="G232" t="s">
        <v>135</v>
      </c>
      <c r="H232" t="s">
        <v>411</v>
      </c>
      <c r="I232" t="s">
        <v>24</v>
      </c>
      <c r="K232">
        <v>22</v>
      </c>
      <c r="L232" t="s">
        <v>39</v>
      </c>
      <c r="M232" t="s">
        <v>26</v>
      </c>
    </row>
    <row r="233" spans="1:13" x14ac:dyDescent="0.3">
      <c r="A233" t="s">
        <v>500</v>
      </c>
      <c r="B233" s="4">
        <v>45347</v>
      </c>
      <c r="C233" s="6">
        <v>0.41180555555555554</v>
      </c>
      <c r="D233" t="s">
        <v>501</v>
      </c>
      <c r="E233" t="s">
        <v>21</v>
      </c>
      <c r="F233">
        <v>71</v>
      </c>
      <c r="G233" t="s">
        <v>135</v>
      </c>
      <c r="H233" t="s">
        <v>411</v>
      </c>
      <c r="I233" t="s">
        <v>24</v>
      </c>
      <c r="K233">
        <v>58</v>
      </c>
      <c r="L233" t="s">
        <v>29</v>
      </c>
      <c r="M233" t="s">
        <v>30</v>
      </c>
    </row>
    <row r="234" spans="1:13" x14ac:dyDescent="0.3">
      <c r="A234" t="s">
        <v>502</v>
      </c>
      <c r="B234" s="4">
        <v>45333</v>
      </c>
      <c r="C234" s="6">
        <v>0.22847222222222222</v>
      </c>
      <c r="D234" t="s">
        <v>503</v>
      </c>
      <c r="E234" t="s">
        <v>21</v>
      </c>
      <c r="F234">
        <v>59</v>
      </c>
      <c r="G234" t="s">
        <v>135</v>
      </c>
      <c r="H234" t="s">
        <v>411</v>
      </c>
      <c r="I234" t="s">
        <v>24</v>
      </c>
      <c r="K234">
        <v>40</v>
      </c>
      <c r="L234" t="s">
        <v>33</v>
      </c>
      <c r="M234" t="s">
        <v>30</v>
      </c>
    </row>
    <row r="235" spans="1:13" x14ac:dyDescent="0.3">
      <c r="A235" t="s">
        <v>504</v>
      </c>
      <c r="B235" s="4">
        <v>45349</v>
      </c>
      <c r="C235" s="6">
        <v>0.2076388888888889</v>
      </c>
      <c r="D235" t="s">
        <v>505</v>
      </c>
      <c r="E235" t="s">
        <v>69</v>
      </c>
      <c r="F235">
        <v>48</v>
      </c>
      <c r="G235" t="s">
        <v>22</v>
      </c>
      <c r="H235" t="s">
        <v>411</v>
      </c>
      <c r="I235" t="s">
        <v>24</v>
      </c>
      <c r="K235">
        <v>10</v>
      </c>
      <c r="L235" t="s">
        <v>56</v>
      </c>
      <c r="M235" t="s">
        <v>26</v>
      </c>
    </row>
    <row r="236" spans="1:13" x14ac:dyDescent="0.3">
      <c r="A236" t="s">
        <v>506</v>
      </c>
      <c r="B236" s="4">
        <v>45331</v>
      </c>
      <c r="C236" s="6">
        <v>0.51458333333333328</v>
      </c>
      <c r="D236" t="s">
        <v>507</v>
      </c>
      <c r="E236" t="s">
        <v>69</v>
      </c>
      <c r="F236">
        <v>64</v>
      </c>
      <c r="G236" t="s">
        <v>22</v>
      </c>
      <c r="H236" t="s">
        <v>411</v>
      </c>
      <c r="I236" t="s">
        <v>24</v>
      </c>
      <c r="K236">
        <v>55</v>
      </c>
      <c r="L236" t="s">
        <v>53</v>
      </c>
      <c r="M236" t="s">
        <v>30</v>
      </c>
    </row>
    <row r="237" spans="1:13" x14ac:dyDescent="0.3">
      <c r="A237" t="s">
        <v>508</v>
      </c>
      <c r="B237" s="4">
        <v>45344</v>
      </c>
      <c r="C237" s="6">
        <v>0.77222222222222225</v>
      </c>
      <c r="D237" t="s">
        <v>509</v>
      </c>
      <c r="E237" t="s">
        <v>69</v>
      </c>
      <c r="F237">
        <v>3</v>
      </c>
      <c r="G237" t="s">
        <v>22</v>
      </c>
      <c r="H237" t="s">
        <v>411</v>
      </c>
      <c r="I237" t="s">
        <v>24</v>
      </c>
      <c r="K237">
        <v>51</v>
      </c>
      <c r="L237" t="s">
        <v>48</v>
      </c>
      <c r="M237" t="s">
        <v>30</v>
      </c>
    </row>
    <row r="238" spans="1:13" x14ac:dyDescent="0.3">
      <c r="A238" t="s">
        <v>510</v>
      </c>
      <c r="B238" s="4">
        <v>45332</v>
      </c>
      <c r="C238" s="6">
        <v>0.81388888888888888</v>
      </c>
      <c r="D238" t="s">
        <v>511</v>
      </c>
      <c r="E238" t="s">
        <v>69</v>
      </c>
      <c r="F238">
        <v>73</v>
      </c>
      <c r="G238" t="s">
        <v>22</v>
      </c>
      <c r="H238" t="s">
        <v>411</v>
      </c>
      <c r="I238" t="s">
        <v>24</v>
      </c>
      <c r="K238">
        <v>14</v>
      </c>
      <c r="L238" t="s">
        <v>29</v>
      </c>
      <c r="M238" t="s">
        <v>26</v>
      </c>
    </row>
    <row r="239" spans="1:13" x14ac:dyDescent="0.3">
      <c r="A239" t="s">
        <v>512</v>
      </c>
      <c r="B239" s="4">
        <v>45337</v>
      </c>
      <c r="C239" s="6">
        <v>0.62847222222222221</v>
      </c>
      <c r="D239" t="s">
        <v>513</v>
      </c>
      <c r="E239" t="s">
        <v>69</v>
      </c>
      <c r="F239">
        <v>33</v>
      </c>
      <c r="G239" t="s">
        <v>22</v>
      </c>
      <c r="H239" t="s">
        <v>411</v>
      </c>
      <c r="I239" t="s">
        <v>24</v>
      </c>
      <c r="K239">
        <v>55</v>
      </c>
      <c r="L239" t="s">
        <v>36</v>
      </c>
      <c r="M239" t="s">
        <v>30</v>
      </c>
    </row>
    <row r="240" spans="1:13" x14ac:dyDescent="0.3">
      <c r="A240" t="s">
        <v>514</v>
      </c>
      <c r="B240" s="4">
        <v>45330</v>
      </c>
      <c r="C240" s="6">
        <v>0.44444444444444442</v>
      </c>
      <c r="D240" t="s">
        <v>515</v>
      </c>
      <c r="E240" t="s">
        <v>21</v>
      </c>
      <c r="F240">
        <v>7</v>
      </c>
      <c r="G240" t="s">
        <v>22</v>
      </c>
      <c r="H240" t="s">
        <v>411</v>
      </c>
      <c r="I240" t="s">
        <v>24</v>
      </c>
      <c r="K240">
        <v>29</v>
      </c>
      <c r="L240" t="s">
        <v>48</v>
      </c>
      <c r="M240" t="s">
        <v>26</v>
      </c>
    </row>
    <row r="241" spans="1:13" x14ac:dyDescent="0.3">
      <c r="A241" t="s">
        <v>516</v>
      </c>
      <c r="B241" s="4">
        <v>45330</v>
      </c>
      <c r="C241" s="6">
        <v>0.13402777777777777</v>
      </c>
      <c r="D241" t="s">
        <v>517</v>
      </c>
      <c r="E241" t="s">
        <v>21</v>
      </c>
      <c r="F241">
        <v>57</v>
      </c>
      <c r="G241" t="s">
        <v>22</v>
      </c>
      <c r="H241" t="s">
        <v>411</v>
      </c>
      <c r="I241" t="s">
        <v>24</v>
      </c>
      <c r="K241">
        <v>38</v>
      </c>
      <c r="L241" t="s">
        <v>33</v>
      </c>
      <c r="M241" t="s">
        <v>30</v>
      </c>
    </row>
    <row r="242" spans="1:13" x14ac:dyDescent="0.3">
      <c r="A242" t="s">
        <v>518</v>
      </c>
      <c r="B242" s="4">
        <v>45347</v>
      </c>
      <c r="C242" s="6">
        <v>0.96180555555555558</v>
      </c>
      <c r="D242" t="s">
        <v>519</v>
      </c>
      <c r="E242" t="s">
        <v>69</v>
      </c>
      <c r="F242">
        <v>63</v>
      </c>
      <c r="G242" t="s">
        <v>22</v>
      </c>
      <c r="H242" t="s">
        <v>411</v>
      </c>
      <c r="I242" t="s">
        <v>98</v>
      </c>
      <c r="K242">
        <v>26</v>
      </c>
      <c r="L242" t="s">
        <v>53</v>
      </c>
      <c r="M242" t="s">
        <v>26</v>
      </c>
    </row>
    <row r="243" spans="1:13" x14ac:dyDescent="0.3">
      <c r="A243" t="s">
        <v>520</v>
      </c>
      <c r="B243" s="4">
        <v>45339</v>
      </c>
      <c r="C243" s="6">
        <v>0.88541666666666663</v>
      </c>
      <c r="D243" t="s">
        <v>521</v>
      </c>
      <c r="E243" t="s">
        <v>69</v>
      </c>
      <c r="F243">
        <v>77</v>
      </c>
      <c r="G243" t="s">
        <v>22</v>
      </c>
      <c r="H243" t="s">
        <v>411</v>
      </c>
      <c r="I243" t="s">
        <v>98</v>
      </c>
      <c r="K243">
        <v>54</v>
      </c>
      <c r="L243" t="s">
        <v>29</v>
      </c>
      <c r="M243" t="s">
        <v>30</v>
      </c>
    </row>
    <row r="244" spans="1:13" x14ac:dyDescent="0.3">
      <c r="A244" t="s">
        <v>522</v>
      </c>
      <c r="B244" s="4">
        <v>45342</v>
      </c>
      <c r="C244" s="6">
        <v>0.94166666666666665</v>
      </c>
      <c r="D244" t="s">
        <v>523</v>
      </c>
      <c r="E244" t="s">
        <v>21</v>
      </c>
      <c r="F244">
        <v>58</v>
      </c>
      <c r="G244" t="s">
        <v>22</v>
      </c>
      <c r="H244" t="s">
        <v>411</v>
      </c>
      <c r="I244" t="s">
        <v>98</v>
      </c>
      <c r="K244">
        <v>14</v>
      </c>
      <c r="L244" t="s">
        <v>33</v>
      </c>
      <c r="M244" t="s">
        <v>26</v>
      </c>
    </row>
    <row r="245" spans="1:13" x14ac:dyDescent="0.3">
      <c r="A245" t="s">
        <v>524</v>
      </c>
      <c r="B245" s="4">
        <v>45350</v>
      </c>
      <c r="C245" s="6">
        <v>0.44513888888888886</v>
      </c>
      <c r="D245" t="s">
        <v>525</v>
      </c>
      <c r="E245" t="s">
        <v>21</v>
      </c>
      <c r="F245">
        <v>8</v>
      </c>
      <c r="G245" t="s">
        <v>22</v>
      </c>
      <c r="H245" t="s">
        <v>411</v>
      </c>
      <c r="I245" t="s">
        <v>98</v>
      </c>
      <c r="K245">
        <v>39</v>
      </c>
      <c r="L245" t="s">
        <v>48</v>
      </c>
      <c r="M245" t="s">
        <v>30</v>
      </c>
    </row>
    <row r="246" spans="1:13" x14ac:dyDescent="0.3">
      <c r="A246" t="s">
        <v>526</v>
      </c>
      <c r="B246" s="4">
        <v>45336</v>
      </c>
      <c r="C246" s="6">
        <v>0.18888888888888888</v>
      </c>
      <c r="D246" t="s">
        <v>527</v>
      </c>
      <c r="E246" t="s">
        <v>21</v>
      </c>
      <c r="F246">
        <v>1</v>
      </c>
      <c r="G246" t="s">
        <v>22</v>
      </c>
      <c r="H246" t="s">
        <v>411</v>
      </c>
      <c r="I246" t="s">
        <v>98</v>
      </c>
      <c r="K246">
        <v>54</v>
      </c>
      <c r="L246" t="s">
        <v>48</v>
      </c>
      <c r="M246" t="s">
        <v>30</v>
      </c>
    </row>
    <row r="247" spans="1:13" x14ac:dyDescent="0.3">
      <c r="A247" t="s">
        <v>528</v>
      </c>
      <c r="B247" s="4">
        <v>45333</v>
      </c>
      <c r="C247" s="6">
        <v>0.75763888888888886</v>
      </c>
      <c r="D247" t="s">
        <v>529</v>
      </c>
      <c r="E247" t="s">
        <v>21</v>
      </c>
      <c r="F247">
        <v>33</v>
      </c>
      <c r="G247" t="s">
        <v>22</v>
      </c>
      <c r="H247" t="s">
        <v>411</v>
      </c>
      <c r="I247" t="s">
        <v>98</v>
      </c>
      <c r="K247">
        <v>24</v>
      </c>
      <c r="L247" t="s">
        <v>36</v>
      </c>
      <c r="M247" t="s">
        <v>26</v>
      </c>
    </row>
    <row r="248" spans="1:13" x14ac:dyDescent="0.3">
      <c r="A248" t="s">
        <v>530</v>
      </c>
      <c r="B248" s="4">
        <v>45348</v>
      </c>
      <c r="C248" s="6">
        <v>0.78472222222222221</v>
      </c>
      <c r="D248" t="s">
        <v>531</v>
      </c>
      <c r="E248" t="s">
        <v>21</v>
      </c>
      <c r="F248">
        <v>43</v>
      </c>
      <c r="G248" t="s">
        <v>22</v>
      </c>
      <c r="H248" t="s">
        <v>532</v>
      </c>
      <c r="I248" t="s">
        <v>98</v>
      </c>
      <c r="K248">
        <v>11</v>
      </c>
      <c r="L248" t="s">
        <v>56</v>
      </c>
      <c r="M248" t="s">
        <v>26</v>
      </c>
    </row>
    <row r="249" spans="1:13" x14ac:dyDescent="0.3">
      <c r="A249" t="s">
        <v>533</v>
      </c>
      <c r="B249" s="4">
        <v>45333</v>
      </c>
      <c r="C249" s="6">
        <v>5.6944444444444443E-2</v>
      </c>
      <c r="D249" t="s">
        <v>534</v>
      </c>
      <c r="E249" t="s">
        <v>21</v>
      </c>
      <c r="F249">
        <v>74</v>
      </c>
      <c r="G249" t="s">
        <v>22</v>
      </c>
      <c r="H249" t="s">
        <v>532</v>
      </c>
      <c r="I249" t="s">
        <v>98</v>
      </c>
      <c r="K249">
        <v>53</v>
      </c>
      <c r="L249" t="s">
        <v>29</v>
      </c>
      <c r="M249" t="s">
        <v>30</v>
      </c>
    </row>
    <row r="250" spans="1:13" x14ac:dyDescent="0.3">
      <c r="A250" t="s">
        <v>535</v>
      </c>
      <c r="B250" s="4">
        <v>45334</v>
      </c>
      <c r="C250" s="6">
        <v>0.83611111111111114</v>
      </c>
      <c r="D250" t="s">
        <v>536</v>
      </c>
      <c r="E250" t="s">
        <v>21</v>
      </c>
      <c r="F250">
        <v>65</v>
      </c>
      <c r="G250" t="s">
        <v>22</v>
      </c>
      <c r="H250" t="s">
        <v>532</v>
      </c>
      <c r="I250" t="s">
        <v>98</v>
      </c>
      <c r="K250">
        <v>14</v>
      </c>
      <c r="L250" t="s">
        <v>53</v>
      </c>
      <c r="M250" t="s">
        <v>26</v>
      </c>
    </row>
    <row r="251" spans="1:13" x14ac:dyDescent="0.3">
      <c r="A251" t="s">
        <v>537</v>
      </c>
      <c r="B251" s="4">
        <v>45328</v>
      </c>
      <c r="C251" s="6">
        <v>0.74930555555555556</v>
      </c>
      <c r="D251" t="s">
        <v>538</v>
      </c>
      <c r="E251" t="s">
        <v>21</v>
      </c>
      <c r="F251">
        <v>16</v>
      </c>
      <c r="G251" t="s">
        <v>22</v>
      </c>
      <c r="H251" t="s">
        <v>532</v>
      </c>
      <c r="I251" t="s">
        <v>24</v>
      </c>
      <c r="K251">
        <v>37</v>
      </c>
      <c r="L251" t="s">
        <v>39</v>
      </c>
      <c r="M251" t="s">
        <v>30</v>
      </c>
    </row>
    <row r="252" spans="1:13" x14ac:dyDescent="0.3">
      <c r="A252" t="s">
        <v>539</v>
      </c>
      <c r="B252" s="4">
        <v>45330</v>
      </c>
      <c r="C252" s="6">
        <v>0.77013888888888893</v>
      </c>
      <c r="D252" t="s">
        <v>540</v>
      </c>
      <c r="E252" t="s">
        <v>21</v>
      </c>
      <c r="F252">
        <v>44</v>
      </c>
      <c r="G252" t="s">
        <v>22</v>
      </c>
      <c r="H252" t="s">
        <v>532</v>
      </c>
      <c r="I252" t="s">
        <v>24</v>
      </c>
      <c r="K252">
        <v>19</v>
      </c>
      <c r="L252" t="s">
        <v>56</v>
      </c>
      <c r="M252" t="s">
        <v>26</v>
      </c>
    </row>
    <row r="253" spans="1:13" x14ac:dyDescent="0.3">
      <c r="A253" t="s">
        <v>541</v>
      </c>
      <c r="B253" s="4">
        <v>45336</v>
      </c>
      <c r="C253" s="6">
        <v>0.99097222222222225</v>
      </c>
      <c r="D253" t="s">
        <v>542</v>
      </c>
      <c r="E253" t="s">
        <v>69</v>
      </c>
      <c r="F253">
        <v>25</v>
      </c>
      <c r="G253" t="s">
        <v>22</v>
      </c>
      <c r="H253" t="s">
        <v>532</v>
      </c>
      <c r="I253" t="s">
        <v>24</v>
      </c>
      <c r="K253">
        <v>20</v>
      </c>
      <c r="L253" t="s">
        <v>25</v>
      </c>
      <c r="M253" t="s">
        <v>26</v>
      </c>
    </row>
    <row r="254" spans="1:13" x14ac:dyDescent="0.3">
      <c r="A254" t="s">
        <v>543</v>
      </c>
      <c r="B254" s="4">
        <v>45332</v>
      </c>
      <c r="C254" s="6">
        <v>0.47430555555555554</v>
      </c>
      <c r="D254" t="s">
        <v>544</v>
      </c>
      <c r="E254" t="s">
        <v>69</v>
      </c>
      <c r="F254">
        <v>58</v>
      </c>
      <c r="G254" t="s">
        <v>22</v>
      </c>
      <c r="H254" t="s">
        <v>532</v>
      </c>
      <c r="I254" t="s">
        <v>24</v>
      </c>
      <c r="K254">
        <v>19</v>
      </c>
      <c r="L254" t="s">
        <v>33</v>
      </c>
      <c r="M254" t="s">
        <v>26</v>
      </c>
    </row>
    <row r="255" spans="1:13" x14ac:dyDescent="0.3">
      <c r="A255" t="s">
        <v>545</v>
      </c>
      <c r="B255" s="4">
        <v>45330</v>
      </c>
      <c r="C255" s="6">
        <v>0.92222222222222228</v>
      </c>
      <c r="D255" t="s">
        <v>546</v>
      </c>
      <c r="E255" t="s">
        <v>69</v>
      </c>
      <c r="F255">
        <v>40</v>
      </c>
      <c r="G255" t="s">
        <v>22</v>
      </c>
      <c r="H255" t="s">
        <v>532</v>
      </c>
      <c r="I255" t="s">
        <v>24</v>
      </c>
      <c r="K255">
        <v>19</v>
      </c>
      <c r="L255" t="s">
        <v>36</v>
      </c>
      <c r="M255" t="s">
        <v>26</v>
      </c>
    </row>
    <row r="256" spans="1:13" x14ac:dyDescent="0.3">
      <c r="A256" t="s">
        <v>547</v>
      </c>
      <c r="B256" s="4">
        <v>45347</v>
      </c>
      <c r="C256" s="6">
        <v>0.24027777777777778</v>
      </c>
      <c r="D256" t="s">
        <v>548</v>
      </c>
      <c r="E256" t="s">
        <v>21</v>
      </c>
      <c r="F256">
        <v>24</v>
      </c>
      <c r="G256" t="s">
        <v>22</v>
      </c>
      <c r="H256" t="s">
        <v>532</v>
      </c>
      <c r="I256" t="s">
        <v>24</v>
      </c>
      <c r="K256">
        <v>20</v>
      </c>
      <c r="L256" t="s">
        <v>25</v>
      </c>
      <c r="M256" t="s">
        <v>26</v>
      </c>
    </row>
    <row r="257" spans="1:13" x14ac:dyDescent="0.3">
      <c r="A257" t="s">
        <v>549</v>
      </c>
      <c r="B257" s="4">
        <v>45329</v>
      </c>
      <c r="C257" s="6">
        <v>0.5083333333333333</v>
      </c>
      <c r="D257" t="s">
        <v>550</v>
      </c>
      <c r="E257" t="s">
        <v>21</v>
      </c>
      <c r="F257">
        <v>79</v>
      </c>
      <c r="G257" t="s">
        <v>22</v>
      </c>
      <c r="H257" t="s">
        <v>532</v>
      </c>
      <c r="I257" t="s">
        <v>24</v>
      </c>
      <c r="K257">
        <v>12</v>
      </c>
      <c r="L257" t="s">
        <v>29</v>
      </c>
      <c r="M257" t="s">
        <v>26</v>
      </c>
    </row>
    <row r="258" spans="1:13" x14ac:dyDescent="0.3">
      <c r="A258" t="s">
        <v>551</v>
      </c>
      <c r="B258" s="4">
        <v>45339</v>
      </c>
      <c r="C258" s="6">
        <v>0.90972222222222221</v>
      </c>
      <c r="D258" t="s">
        <v>552</v>
      </c>
      <c r="E258" t="s">
        <v>21</v>
      </c>
      <c r="F258">
        <v>31</v>
      </c>
      <c r="G258" t="s">
        <v>22</v>
      </c>
      <c r="H258" t="s">
        <v>532</v>
      </c>
      <c r="I258" t="s">
        <v>24</v>
      </c>
      <c r="K258">
        <v>49</v>
      </c>
      <c r="L258" t="s">
        <v>36</v>
      </c>
      <c r="M258" t="s">
        <v>30</v>
      </c>
    </row>
    <row r="259" spans="1:13" x14ac:dyDescent="0.3">
      <c r="A259" t="s">
        <v>553</v>
      </c>
      <c r="B259" s="4">
        <v>45327</v>
      </c>
      <c r="C259" s="6">
        <v>0.69861111111111107</v>
      </c>
      <c r="D259" t="s">
        <v>554</v>
      </c>
      <c r="E259" t="s">
        <v>21</v>
      </c>
      <c r="F259">
        <v>71</v>
      </c>
      <c r="G259" t="s">
        <v>22</v>
      </c>
      <c r="H259" t="s">
        <v>532</v>
      </c>
      <c r="I259" t="s">
        <v>24</v>
      </c>
      <c r="K259">
        <v>47</v>
      </c>
      <c r="L259" t="s">
        <v>29</v>
      </c>
      <c r="M259" t="s">
        <v>30</v>
      </c>
    </row>
    <row r="260" spans="1:13" x14ac:dyDescent="0.3">
      <c r="A260" t="s">
        <v>555</v>
      </c>
      <c r="B260" s="4">
        <v>45345</v>
      </c>
      <c r="C260" s="6">
        <v>0.98472222222222228</v>
      </c>
      <c r="D260" t="s">
        <v>556</v>
      </c>
      <c r="E260" t="s">
        <v>21</v>
      </c>
      <c r="F260">
        <v>15</v>
      </c>
      <c r="G260" t="s">
        <v>22</v>
      </c>
      <c r="H260" t="s">
        <v>532</v>
      </c>
      <c r="I260" t="s">
        <v>24</v>
      </c>
      <c r="K260">
        <v>38</v>
      </c>
      <c r="L260" t="s">
        <v>39</v>
      </c>
      <c r="M260" t="s">
        <v>30</v>
      </c>
    </row>
    <row r="261" spans="1:13" x14ac:dyDescent="0.3">
      <c r="A261" t="s">
        <v>557</v>
      </c>
      <c r="B261" s="4">
        <v>45343</v>
      </c>
      <c r="C261" s="6">
        <v>0.7680555555555556</v>
      </c>
      <c r="D261" t="s">
        <v>558</v>
      </c>
      <c r="E261" t="s">
        <v>21</v>
      </c>
      <c r="F261">
        <v>9</v>
      </c>
      <c r="G261" t="s">
        <v>135</v>
      </c>
      <c r="H261" t="s">
        <v>532</v>
      </c>
      <c r="I261" t="s">
        <v>24</v>
      </c>
      <c r="K261">
        <v>59</v>
      </c>
      <c r="L261" t="s">
        <v>48</v>
      </c>
      <c r="M261" t="s">
        <v>30</v>
      </c>
    </row>
    <row r="262" spans="1:13" x14ac:dyDescent="0.3">
      <c r="A262" t="s">
        <v>559</v>
      </c>
      <c r="B262" s="4">
        <v>45327</v>
      </c>
      <c r="C262" s="6">
        <v>0.78541666666666665</v>
      </c>
      <c r="D262" t="s">
        <v>560</v>
      </c>
      <c r="E262" t="s">
        <v>21</v>
      </c>
      <c r="F262">
        <v>53</v>
      </c>
      <c r="G262" t="s">
        <v>135</v>
      </c>
      <c r="H262" t="s">
        <v>532</v>
      </c>
      <c r="I262" t="s">
        <v>24</v>
      </c>
      <c r="K262">
        <v>37</v>
      </c>
      <c r="L262" t="s">
        <v>33</v>
      </c>
      <c r="M262" t="s">
        <v>30</v>
      </c>
    </row>
    <row r="263" spans="1:13" x14ac:dyDescent="0.3">
      <c r="A263" t="s">
        <v>561</v>
      </c>
      <c r="B263" s="4">
        <v>45333</v>
      </c>
      <c r="C263" s="6">
        <v>6.3888888888888884E-2</v>
      </c>
      <c r="D263" t="s">
        <v>562</v>
      </c>
      <c r="E263" t="s">
        <v>69</v>
      </c>
      <c r="F263">
        <v>46</v>
      </c>
      <c r="G263" t="s">
        <v>135</v>
      </c>
      <c r="H263" t="s">
        <v>532</v>
      </c>
      <c r="I263" t="s">
        <v>24</v>
      </c>
      <c r="K263">
        <v>12</v>
      </c>
      <c r="L263" t="s">
        <v>56</v>
      </c>
      <c r="M263" t="s">
        <v>26</v>
      </c>
    </row>
    <row r="264" spans="1:13" x14ac:dyDescent="0.3">
      <c r="A264" t="s">
        <v>563</v>
      </c>
      <c r="B264" s="4">
        <v>45347</v>
      </c>
      <c r="C264" s="6">
        <v>0.62638888888888888</v>
      </c>
      <c r="D264" t="s">
        <v>564</v>
      </c>
      <c r="E264" t="s">
        <v>69</v>
      </c>
      <c r="F264">
        <v>65</v>
      </c>
      <c r="G264" t="s">
        <v>135</v>
      </c>
      <c r="H264" t="s">
        <v>532</v>
      </c>
      <c r="I264" t="s">
        <v>98</v>
      </c>
      <c r="K264">
        <v>29</v>
      </c>
      <c r="L264" t="s">
        <v>53</v>
      </c>
      <c r="M264" t="s">
        <v>26</v>
      </c>
    </row>
    <row r="265" spans="1:13" x14ac:dyDescent="0.3">
      <c r="A265" t="s">
        <v>565</v>
      </c>
      <c r="B265" s="4">
        <v>45325</v>
      </c>
      <c r="C265" s="6">
        <v>0.44166666666666665</v>
      </c>
      <c r="D265" t="s">
        <v>566</v>
      </c>
      <c r="E265" t="s">
        <v>69</v>
      </c>
      <c r="F265">
        <v>54</v>
      </c>
      <c r="G265" t="s">
        <v>135</v>
      </c>
      <c r="H265" t="s">
        <v>532</v>
      </c>
      <c r="I265" t="s">
        <v>98</v>
      </c>
      <c r="K265">
        <v>19</v>
      </c>
      <c r="L265" t="s">
        <v>33</v>
      </c>
      <c r="M265" t="s">
        <v>26</v>
      </c>
    </row>
    <row r="266" spans="1:13" x14ac:dyDescent="0.3">
      <c r="A266" t="s">
        <v>567</v>
      </c>
      <c r="B266" s="4">
        <v>45332</v>
      </c>
      <c r="C266" s="6">
        <v>0.97986111111111107</v>
      </c>
      <c r="D266" t="s">
        <v>568</v>
      </c>
      <c r="E266" t="s">
        <v>69</v>
      </c>
      <c r="F266">
        <v>42</v>
      </c>
      <c r="G266" t="s">
        <v>135</v>
      </c>
      <c r="H266" t="s">
        <v>532</v>
      </c>
      <c r="I266" t="s">
        <v>98</v>
      </c>
      <c r="K266">
        <v>56</v>
      </c>
      <c r="L266" t="s">
        <v>56</v>
      </c>
      <c r="M266" t="s">
        <v>30</v>
      </c>
    </row>
    <row r="267" spans="1:13" x14ac:dyDescent="0.3">
      <c r="A267" t="s">
        <v>569</v>
      </c>
      <c r="B267" s="4">
        <v>45348</v>
      </c>
      <c r="C267" s="6">
        <v>0.6645833333333333</v>
      </c>
      <c r="D267" t="s">
        <v>570</v>
      </c>
      <c r="E267" t="s">
        <v>69</v>
      </c>
      <c r="F267">
        <v>1</v>
      </c>
      <c r="G267" t="s">
        <v>135</v>
      </c>
      <c r="H267" t="s">
        <v>532</v>
      </c>
      <c r="I267" t="s">
        <v>24</v>
      </c>
      <c r="K267">
        <v>27</v>
      </c>
      <c r="L267" t="s">
        <v>48</v>
      </c>
      <c r="M267" t="s">
        <v>26</v>
      </c>
    </row>
    <row r="268" spans="1:13" x14ac:dyDescent="0.3">
      <c r="A268" t="s">
        <v>571</v>
      </c>
      <c r="B268" s="4">
        <v>45326</v>
      </c>
      <c r="C268" s="6">
        <v>0.29166666666666669</v>
      </c>
      <c r="D268" t="s">
        <v>572</v>
      </c>
      <c r="E268" t="s">
        <v>21</v>
      </c>
      <c r="F268">
        <v>24</v>
      </c>
      <c r="G268" t="s">
        <v>214</v>
      </c>
      <c r="H268" t="s">
        <v>532</v>
      </c>
      <c r="I268" t="s">
        <v>98</v>
      </c>
      <c r="K268">
        <v>30</v>
      </c>
      <c r="L268" t="s">
        <v>25</v>
      </c>
      <c r="M268" t="s">
        <v>30</v>
      </c>
    </row>
    <row r="269" spans="1:13" x14ac:dyDescent="0.3">
      <c r="A269" t="s">
        <v>573</v>
      </c>
      <c r="B269" s="4">
        <v>45332</v>
      </c>
      <c r="C269" s="6">
        <v>0.42986111111111114</v>
      </c>
      <c r="D269" t="s">
        <v>574</v>
      </c>
      <c r="E269" t="s">
        <v>21</v>
      </c>
      <c r="F269">
        <v>76</v>
      </c>
      <c r="G269" t="s">
        <v>214</v>
      </c>
      <c r="H269" t="s">
        <v>532</v>
      </c>
      <c r="I269" t="s">
        <v>98</v>
      </c>
      <c r="K269">
        <v>34</v>
      </c>
      <c r="L269" t="s">
        <v>29</v>
      </c>
      <c r="M269" t="s">
        <v>30</v>
      </c>
    </row>
    <row r="270" spans="1:13" x14ac:dyDescent="0.3">
      <c r="A270" t="s">
        <v>575</v>
      </c>
      <c r="B270" s="4">
        <v>45349</v>
      </c>
      <c r="C270" s="6">
        <v>0.68333333333333335</v>
      </c>
      <c r="D270" t="s">
        <v>576</v>
      </c>
      <c r="E270" t="s">
        <v>21</v>
      </c>
      <c r="F270">
        <v>41</v>
      </c>
      <c r="G270" t="s">
        <v>214</v>
      </c>
      <c r="H270" t="s">
        <v>532</v>
      </c>
      <c r="I270" t="s">
        <v>98</v>
      </c>
      <c r="K270">
        <v>48</v>
      </c>
      <c r="L270" t="s">
        <v>56</v>
      </c>
      <c r="M270" t="s">
        <v>30</v>
      </c>
    </row>
    <row r="271" spans="1:13" x14ac:dyDescent="0.3">
      <c r="A271" t="s">
        <v>577</v>
      </c>
      <c r="B271" s="4">
        <v>45327</v>
      </c>
      <c r="C271" s="6">
        <v>6.9444444444444448E-2</v>
      </c>
      <c r="D271" t="s">
        <v>578</v>
      </c>
      <c r="E271" t="s">
        <v>21</v>
      </c>
      <c r="F271">
        <v>33</v>
      </c>
      <c r="G271" t="s">
        <v>214</v>
      </c>
      <c r="H271" t="s">
        <v>532</v>
      </c>
      <c r="I271" t="s">
        <v>24</v>
      </c>
      <c r="K271">
        <v>35</v>
      </c>
      <c r="L271" t="s">
        <v>36</v>
      </c>
      <c r="M271" t="s">
        <v>30</v>
      </c>
    </row>
    <row r="272" spans="1:13" x14ac:dyDescent="0.3">
      <c r="A272" t="s">
        <v>579</v>
      </c>
      <c r="B272" s="4">
        <v>45336</v>
      </c>
      <c r="C272" s="6">
        <v>0.34861111111111109</v>
      </c>
      <c r="D272" t="s">
        <v>580</v>
      </c>
      <c r="E272" t="s">
        <v>69</v>
      </c>
      <c r="F272">
        <v>25</v>
      </c>
      <c r="G272" t="s">
        <v>338</v>
      </c>
      <c r="H272" t="s">
        <v>532</v>
      </c>
      <c r="I272" t="s">
        <v>98</v>
      </c>
      <c r="K272">
        <v>52</v>
      </c>
      <c r="L272" t="s">
        <v>25</v>
      </c>
      <c r="M272" t="s">
        <v>30</v>
      </c>
    </row>
    <row r="273" spans="1:13" x14ac:dyDescent="0.3">
      <c r="A273" t="s">
        <v>581</v>
      </c>
      <c r="B273" s="4">
        <v>45327</v>
      </c>
      <c r="C273" s="6">
        <v>0.50416666666666665</v>
      </c>
      <c r="D273" t="s">
        <v>582</v>
      </c>
      <c r="E273" t="s">
        <v>21</v>
      </c>
      <c r="F273">
        <v>48</v>
      </c>
      <c r="G273" t="s">
        <v>338</v>
      </c>
      <c r="H273" t="s">
        <v>532</v>
      </c>
      <c r="I273" t="s">
        <v>98</v>
      </c>
      <c r="K273">
        <v>42</v>
      </c>
      <c r="L273" t="s">
        <v>56</v>
      </c>
      <c r="M273" t="s">
        <v>30</v>
      </c>
    </row>
    <row r="274" spans="1:13" x14ac:dyDescent="0.3">
      <c r="A274" t="s">
        <v>583</v>
      </c>
      <c r="B274" s="4">
        <v>45324</v>
      </c>
      <c r="C274" s="6">
        <v>1.8749999999999999E-2</v>
      </c>
      <c r="D274" t="s">
        <v>584</v>
      </c>
      <c r="E274" t="s">
        <v>69</v>
      </c>
      <c r="F274">
        <v>52</v>
      </c>
      <c r="G274" t="s">
        <v>338</v>
      </c>
      <c r="H274" t="s">
        <v>532</v>
      </c>
      <c r="I274" t="s">
        <v>24</v>
      </c>
      <c r="K274">
        <v>58</v>
      </c>
      <c r="L274" t="s">
        <v>33</v>
      </c>
      <c r="M274" t="s">
        <v>30</v>
      </c>
    </row>
    <row r="275" spans="1:13" x14ac:dyDescent="0.3">
      <c r="A275" t="s">
        <v>585</v>
      </c>
      <c r="B275" s="4">
        <v>45332</v>
      </c>
      <c r="C275" s="6">
        <v>0.20972222222222223</v>
      </c>
      <c r="D275" t="s">
        <v>586</v>
      </c>
      <c r="E275" t="s">
        <v>69</v>
      </c>
      <c r="F275">
        <v>71</v>
      </c>
      <c r="G275" t="s">
        <v>338</v>
      </c>
      <c r="H275" t="s">
        <v>532</v>
      </c>
      <c r="I275" t="s">
        <v>24</v>
      </c>
      <c r="K275">
        <v>29</v>
      </c>
      <c r="L275" t="s">
        <v>29</v>
      </c>
      <c r="M275" t="s">
        <v>26</v>
      </c>
    </row>
    <row r="276" spans="1:13" x14ac:dyDescent="0.3">
      <c r="A276" t="s">
        <v>587</v>
      </c>
      <c r="B276" s="4">
        <v>45341</v>
      </c>
      <c r="C276" s="6">
        <v>0.41875000000000001</v>
      </c>
      <c r="D276" t="s">
        <v>588</v>
      </c>
      <c r="E276" t="s">
        <v>21</v>
      </c>
      <c r="F276">
        <v>70</v>
      </c>
      <c r="G276" t="s">
        <v>338</v>
      </c>
      <c r="H276" t="s">
        <v>532</v>
      </c>
      <c r="I276" t="s">
        <v>24</v>
      </c>
      <c r="K276">
        <v>55</v>
      </c>
      <c r="L276" t="s">
        <v>53</v>
      </c>
      <c r="M276" t="s">
        <v>30</v>
      </c>
    </row>
    <row r="277" spans="1:13" x14ac:dyDescent="0.3">
      <c r="A277" t="s">
        <v>589</v>
      </c>
      <c r="B277" s="4">
        <v>45331</v>
      </c>
      <c r="C277" s="6">
        <v>0.51666666666666672</v>
      </c>
      <c r="D277" t="s">
        <v>590</v>
      </c>
      <c r="E277" t="s">
        <v>21</v>
      </c>
      <c r="F277">
        <v>40</v>
      </c>
      <c r="G277" t="s">
        <v>338</v>
      </c>
      <c r="H277" t="s">
        <v>532</v>
      </c>
      <c r="I277" t="s">
        <v>24</v>
      </c>
      <c r="K277">
        <v>33</v>
      </c>
      <c r="L277" t="s">
        <v>36</v>
      </c>
      <c r="M277" t="s">
        <v>30</v>
      </c>
    </row>
    <row r="278" spans="1:13" x14ac:dyDescent="0.3">
      <c r="A278" t="s">
        <v>591</v>
      </c>
      <c r="B278" s="4">
        <v>45342</v>
      </c>
      <c r="C278" s="6">
        <v>0.10486111111111111</v>
      </c>
      <c r="D278" t="s">
        <v>592</v>
      </c>
      <c r="E278" t="s">
        <v>21</v>
      </c>
      <c r="F278">
        <v>20</v>
      </c>
      <c r="G278" t="s">
        <v>307</v>
      </c>
      <c r="H278" t="s">
        <v>532</v>
      </c>
      <c r="I278" t="s">
        <v>98</v>
      </c>
      <c r="K278">
        <v>52</v>
      </c>
      <c r="L278" t="s">
        <v>39</v>
      </c>
      <c r="M278" t="s">
        <v>30</v>
      </c>
    </row>
    <row r="279" spans="1:13" x14ac:dyDescent="0.3">
      <c r="A279" t="s">
        <v>593</v>
      </c>
      <c r="B279" s="4">
        <v>45332</v>
      </c>
      <c r="C279" s="6">
        <v>0.39583333333333331</v>
      </c>
      <c r="D279" t="s">
        <v>594</v>
      </c>
      <c r="E279" t="s">
        <v>21</v>
      </c>
      <c r="F279">
        <v>30</v>
      </c>
      <c r="G279" t="s">
        <v>307</v>
      </c>
      <c r="H279" t="s">
        <v>532</v>
      </c>
      <c r="I279" t="s">
        <v>24</v>
      </c>
      <c r="K279">
        <v>49</v>
      </c>
      <c r="L279" t="s">
        <v>25</v>
      </c>
      <c r="M279" t="s">
        <v>30</v>
      </c>
    </row>
    <row r="280" spans="1:13" x14ac:dyDescent="0.3">
      <c r="A280" t="s">
        <v>595</v>
      </c>
      <c r="B280" s="4">
        <v>45323</v>
      </c>
      <c r="C280" s="6">
        <v>0.12569444444444444</v>
      </c>
      <c r="D280" t="s">
        <v>596</v>
      </c>
      <c r="E280" t="s">
        <v>21</v>
      </c>
      <c r="F280">
        <v>8</v>
      </c>
      <c r="G280" t="s">
        <v>369</v>
      </c>
      <c r="H280" t="s">
        <v>532</v>
      </c>
      <c r="I280" t="s">
        <v>98</v>
      </c>
      <c r="K280">
        <v>33</v>
      </c>
      <c r="L280" t="s">
        <v>48</v>
      </c>
      <c r="M280" t="s">
        <v>30</v>
      </c>
    </row>
    <row r="281" spans="1:13" x14ac:dyDescent="0.3">
      <c r="A281" t="s">
        <v>597</v>
      </c>
      <c r="B281" s="4">
        <v>45341</v>
      </c>
      <c r="C281" s="6">
        <v>0.16319444444444445</v>
      </c>
      <c r="D281" t="s">
        <v>598</v>
      </c>
      <c r="E281" t="s">
        <v>69</v>
      </c>
      <c r="F281">
        <v>54</v>
      </c>
      <c r="G281" t="s">
        <v>386</v>
      </c>
      <c r="H281" t="s">
        <v>532</v>
      </c>
      <c r="I281" t="s">
        <v>24</v>
      </c>
      <c r="K281">
        <v>15</v>
      </c>
      <c r="L281" t="s">
        <v>33</v>
      </c>
      <c r="M281" t="s">
        <v>26</v>
      </c>
    </row>
    <row r="282" spans="1:13" x14ac:dyDescent="0.3">
      <c r="A282" t="s">
        <v>599</v>
      </c>
      <c r="B282" s="4">
        <v>45346</v>
      </c>
      <c r="C282" s="6">
        <v>0.64930555555555558</v>
      </c>
      <c r="D282" t="s">
        <v>600</v>
      </c>
      <c r="E282" t="s">
        <v>69</v>
      </c>
      <c r="F282">
        <v>78</v>
      </c>
      <c r="G282" t="s">
        <v>369</v>
      </c>
      <c r="H282" t="s">
        <v>532</v>
      </c>
      <c r="I282" t="s">
        <v>24</v>
      </c>
      <c r="K282">
        <v>37</v>
      </c>
      <c r="L282" t="s">
        <v>29</v>
      </c>
      <c r="M282" t="s">
        <v>30</v>
      </c>
    </row>
    <row r="283" spans="1:13" x14ac:dyDescent="0.3">
      <c r="A283" t="s">
        <v>601</v>
      </c>
      <c r="B283" s="4">
        <v>45343</v>
      </c>
      <c r="C283" s="6">
        <v>0.87222222222222223</v>
      </c>
      <c r="D283" t="s">
        <v>602</v>
      </c>
      <c r="E283" t="s">
        <v>69</v>
      </c>
      <c r="F283">
        <v>62</v>
      </c>
      <c r="G283" t="s">
        <v>22</v>
      </c>
      <c r="H283" t="s">
        <v>603</v>
      </c>
      <c r="I283" t="s">
        <v>98</v>
      </c>
      <c r="K283">
        <v>47</v>
      </c>
      <c r="L283" t="s">
        <v>53</v>
      </c>
      <c r="M283" t="s">
        <v>30</v>
      </c>
    </row>
    <row r="284" spans="1:13" x14ac:dyDescent="0.3">
      <c r="A284" t="s">
        <v>604</v>
      </c>
      <c r="B284" s="4">
        <v>45331</v>
      </c>
      <c r="C284" s="6">
        <v>0.44097222222222221</v>
      </c>
      <c r="D284" t="s">
        <v>605</v>
      </c>
      <c r="E284" t="s">
        <v>69</v>
      </c>
      <c r="F284">
        <v>23</v>
      </c>
      <c r="G284" t="s">
        <v>22</v>
      </c>
      <c r="H284" t="s">
        <v>603</v>
      </c>
      <c r="I284" t="s">
        <v>98</v>
      </c>
      <c r="K284">
        <v>59</v>
      </c>
      <c r="L284" t="s">
        <v>25</v>
      </c>
      <c r="M284" t="s">
        <v>30</v>
      </c>
    </row>
    <row r="285" spans="1:13" x14ac:dyDescent="0.3">
      <c r="A285" t="s">
        <v>606</v>
      </c>
      <c r="B285" s="4">
        <v>45343</v>
      </c>
      <c r="C285" s="6">
        <v>0.4236111111111111</v>
      </c>
      <c r="D285" t="s">
        <v>607</v>
      </c>
      <c r="E285" t="s">
        <v>21</v>
      </c>
      <c r="F285">
        <v>72</v>
      </c>
      <c r="G285" t="s">
        <v>307</v>
      </c>
      <c r="H285" t="s">
        <v>603</v>
      </c>
      <c r="I285" t="s">
        <v>98</v>
      </c>
      <c r="K285">
        <v>49</v>
      </c>
      <c r="L285" t="s">
        <v>29</v>
      </c>
      <c r="M285" t="s">
        <v>30</v>
      </c>
    </row>
    <row r="286" spans="1:13" x14ac:dyDescent="0.3">
      <c r="A286" t="s">
        <v>608</v>
      </c>
      <c r="B286" s="4">
        <v>45338</v>
      </c>
      <c r="C286" s="6">
        <v>0.95763888888888893</v>
      </c>
      <c r="D286" t="s">
        <v>609</v>
      </c>
      <c r="E286" t="s">
        <v>21</v>
      </c>
      <c r="F286">
        <v>73</v>
      </c>
      <c r="G286" t="s">
        <v>386</v>
      </c>
      <c r="H286" t="s">
        <v>603</v>
      </c>
      <c r="I286" t="s">
        <v>98</v>
      </c>
      <c r="K286">
        <v>45</v>
      </c>
      <c r="L286" t="s">
        <v>29</v>
      </c>
      <c r="M286" t="s">
        <v>30</v>
      </c>
    </row>
    <row r="287" spans="1:13" x14ac:dyDescent="0.3">
      <c r="A287" t="s">
        <v>610</v>
      </c>
      <c r="B287" s="4">
        <v>45343</v>
      </c>
      <c r="C287" s="6">
        <v>0.12013888888888889</v>
      </c>
      <c r="D287" t="s">
        <v>611</v>
      </c>
      <c r="E287" t="s">
        <v>69</v>
      </c>
      <c r="F287">
        <v>60</v>
      </c>
      <c r="G287" t="s">
        <v>214</v>
      </c>
      <c r="H287" t="s">
        <v>603</v>
      </c>
      <c r="I287" t="s">
        <v>24</v>
      </c>
      <c r="K287">
        <v>21</v>
      </c>
      <c r="L287" t="s">
        <v>33</v>
      </c>
      <c r="M287" t="s">
        <v>26</v>
      </c>
    </row>
    <row r="288" spans="1:13" x14ac:dyDescent="0.3">
      <c r="A288" t="s">
        <v>612</v>
      </c>
      <c r="B288" s="4">
        <v>45348</v>
      </c>
      <c r="C288" s="6">
        <v>0.31944444444444442</v>
      </c>
      <c r="D288" t="s">
        <v>613</v>
      </c>
      <c r="E288" t="s">
        <v>21</v>
      </c>
      <c r="F288">
        <v>8</v>
      </c>
      <c r="G288" t="s">
        <v>135</v>
      </c>
      <c r="H288" t="s">
        <v>603</v>
      </c>
      <c r="I288" t="s">
        <v>24</v>
      </c>
      <c r="K288">
        <v>47</v>
      </c>
      <c r="L288" t="s">
        <v>48</v>
      </c>
      <c r="M288" t="s">
        <v>30</v>
      </c>
    </row>
    <row r="289" spans="1:13" x14ac:dyDescent="0.3">
      <c r="A289" t="s">
        <v>614</v>
      </c>
      <c r="B289" s="4">
        <v>45348</v>
      </c>
      <c r="C289" s="6">
        <v>0.19583333333333333</v>
      </c>
      <c r="D289" t="s">
        <v>615</v>
      </c>
      <c r="E289" t="s">
        <v>21</v>
      </c>
      <c r="F289">
        <v>60</v>
      </c>
      <c r="G289" t="s">
        <v>22</v>
      </c>
      <c r="H289" t="s">
        <v>603</v>
      </c>
      <c r="I289" t="s">
        <v>24</v>
      </c>
      <c r="K289">
        <v>59</v>
      </c>
      <c r="L289" t="s">
        <v>33</v>
      </c>
      <c r="M289" t="s">
        <v>30</v>
      </c>
    </row>
    <row r="290" spans="1:13" x14ac:dyDescent="0.3">
      <c r="A290" t="s">
        <v>616</v>
      </c>
      <c r="B290" s="4">
        <v>45333</v>
      </c>
      <c r="C290" s="6">
        <v>0.97430555555555554</v>
      </c>
      <c r="D290" t="s">
        <v>617</v>
      </c>
      <c r="E290" t="s">
        <v>69</v>
      </c>
      <c r="F290">
        <v>13</v>
      </c>
      <c r="G290" t="s">
        <v>307</v>
      </c>
      <c r="H290" t="s">
        <v>618</v>
      </c>
      <c r="I290" t="s">
        <v>98</v>
      </c>
      <c r="K290">
        <v>40</v>
      </c>
      <c r="L290" t="s">
        <v>39</v>
      </c>
      <c r="M290" t="s">
        <v>30</v>
      </c>
    </row>
    <row r="291" spans="1:13" x14ac:dyDescent="0.3">
      <c r="A291" t="s">
        <v>619</v>
      </c>
      <c r="B291" s="4">
        <v>45339</v>
      </c>
      <c r="C291" s="6">
        <v>0.38194444444444442</v>
      </c>
      <c r="D291" t="s">
        <v>620</v>
      </c>
      <c r="E291" t="s">
        <v>69</v>
      </c>
      <c r="F291">
        <v>14</v>
      </c>
      <c r="G291" t="s">
        <v>214</v>
      </c>
      <c r="H291" t="s">
        <v>618</v>
      </c>
      <c r="I291" t="s">
        <v>98</v>
      </c>
      <c r="K291">
        <v>53</v>
      </c>
      <c r="L291" t="s">
        <v>39</v>
      </c>
      <c r="M291" t="s">
        <v>30</v>
      </c>
    </row>
    <row r="292" spans="1:13" x14ac:dyDescent="0.3">
      <c r="A292" t="s">
        <v>621</v>
      </c>
      <c r="B292" s="4">
        <v>45330</v>
      </c>
      <c r="C292" s="6">
        <v>0.84444444444444444</v>
      </c>
      <c r="D292" t="s">
        <v>622</v>
      </c>
      <c r="E292" t="s">
        <v>69</v>
      </c>
      <c r="F292">
        <v>22</v>
      </c>
      <c r="G292" t="s">
        <v>22</v>
      </c>
      <c r="H292" t="s">
        <v>618</v>
      </c>
      <c r="I292" t="s">
        <v>98</v>
      </c>
      <c r="K292">
        <v>41</v>
      </c>
      <c r="L292" t="s">
        <v>25</v>
      </c>
      <c r="M292" t="s">
        <v>30</v>
      </c>
    </row>
    <row r="293" spans="1:13" x14ac:dyDescent="0.3">
      <c r="A293" t="s">
        <v>623</v>
      </c>
      <c r="B293" s="4">
        <v>45330</v>
      </c>
      <c r="C293" s="6">
        <v>0.13125000000000001</v>
      </c>
      <c r="D293" t="s">
        <v>624</v>
      </c>
      <c r="E293" t="s">
        <v>21</v>
      </c>
      <c r="F293">
        <v>15</v>
      </c>
      <c r="G293" t="s">
        <v>135</v>
      </c>
      <c r="H293" t="s">
        <v>618</v>
      </c>
      <c r="I293" t="s">
        <v>98</v>
      </c>
      <c r="K293">
        <v>50</v>
      </c>
      <c r="L293" t="s">
        <v>39</v>
      </c>
      <c r="M293" t="s">
        <v>30</v>
      </c>
    </row>
    <row r="294" spans="1:13" x14ac:dyDescent="0.3">
      <c r="A294" t="s">
        <v>625</v>
      </c>
      <c r="B294" s="4">
        <v>45342</v>
      </c>
      <c r="C294" s="6">
        <v>0.92500000000000004</v>
      </c>
      <c r="D294" t="s">
        <v>626</v>
      </c>
      <c r="E294" t="s">
        <v>21</v>
      </c>
      <c r="F294">
        <v>6</v>
      </c>
      <c r="G294" t="s">
        <v>369</v>
      </c>
      <c r="H294" t="s">
        <v>618</v>
      </c>
      <c r="I294" t="s">
        <v>98</v>
      </c>
      <c r="K294">
        <v>53</v>
      </c>
      <c r="L294" t="s">
        <v>48</v>
      </c>
      <c r="M294" t="s">
        <v>30</v>
      </c>
    </row>
    <row r="295" spans="1:13" x14ac:dyDescent="0.3">
      <c r="A295" t="s">
        <v>627</v>
      </c>
      <c r="B295" s="4">
        <v>45343</v>
      </c>
      <c r="C295" s="6">
        <v>0.8618055555555556</v>
      </c>
      <c r="D295" t="s">
        <v>628</v>
      </c>
      <c r="E295" t="s">
        <v>21</v>
      </c>
      <c r="F295">
        <v>36</v>
      </c>
      <c r="G295" t="s">
        <v>135</v>
      </c>
      <c r="H295" t="s">
        <v>618</v>
      </c>
      <c r="I295" t="s">
        <v>24</v>
      </c>
      <c r="K295">
        <v>24</v>
      </c>
      <c r="L295" t="s">
        <v>36</v>
      </c>
      <c r="M295" t="s">
        <v>26</v>
      </c>
    </row>
    <row r="296" spans="1:13" x14ac:dyDescent="0.3">
      <c r="A296" t="s">
        <v>629</v>
      </c>
      <c r="B296" s="4">
        <v>45348</v>
      </c>
      <c r="C296" s="6">
        <v>0.76458333333333328</v>
      </c>
      <c r="D296" t="s">
        <v>630</v>
      </c>
      <c r="E296" t="s">
        <v>21</v>
      </c>
      <c r="F296">
        <v>43</v>
      </c>
      <c r="G296" t="s">
        <v>135</v>
      </c>
      <c r="H296" t="s">
        <v>618</v>
      </c>
      <c r="I296" t="s">
        <v>24</v>
      </c>
      <c r="K296">
        <v>27</v>
      </c>
      <c r="L296" t="s">
        <v>56</v>
      </c>
      <c r="M296" t="s">
        <v>26</v>
      </c>
    </row>
    <row r="297" spans="1:13" x14ac:dyDescent="0.3">
      <c r="A297" t="s">
        <v>631</v>
      </c>
      <c r="B297" s="4">
        <v>45345</v>
      </c>
      <c r="C297" s="6">
        <v>0.45347222222222222</v>
      </c>
      <c r="D297" t="s">
        <v>632</v>
      </c>
      <c r="E297" t="s">
        <v>21</v>
      </c>
      <c r="F297">
        <v>44</v>
      </c>
      <c r="G297" t="s">
        <v>338</v>
      </c>
      <c r="H297" t="s">
        <v>618</v>
      </c>
      <c r="I297" t="s">
        <v>24</v>
      </c>
      <c r="K297">
        <v>58</v>
      </c>
      <c r="L297" t="s">
        <v>56</v>
      </c>
      <c r="M297" t="s">
        <v>30</v>
      </c>
    </row>
    <row r="298" spans="1:13" x14ac:dyDescent="0.3">
      <c r="A298" t="s">
        <v>633</v>
      </c>
      <c r="B298" s="4">
        <v>45338</v>
      </c>
      <c r="C298" s="6">
        <v>0.90625</v>
      </c>
      <c r="D298" t="s">
        <v>634</v>
      </c>
      <c r="E298" t="s">
        <v>21</v>
      </c>
      <c r="F298">
        <v>31</v>
      </c>
      <c r="G298" t="s">
        <v>22</v>
      </c>
      <c r="H298" t="s">
        <v>618</v>
      </c>
      <c r="I298" t="s">
        <v>24</v>
      </c>
      <c r="K298">
        <v>29</v>
      </c>
      <c r="L298" t="s">
        <v>36</v>
      </c>
      <c r="M298" t="s">
        <v>26</v>
      </c>
    </row>
    <row r="299" spans="1:13" x14ac:dyDescent="0.3">
      <c r="A299" t="s">
        <v>635</v>
      </c>
      <c r="B299" s="4">
        <v>45338</v>
      </c>
      <c r="C299" s="6">
        <v>0.10069444444444445</v>
      </c>
      <c r="D299" t="s">
        <v>636</v>
      </c>
      <c r="E299" t="s">
        <v>69</v>
      </c>
      <c r="F299">
        <v>19</v>
      </c>
      <c r="G299" t="s">
        <v>22</v>
      </c>
      <c r="H299" t="s">
        <v>637</v>
      </c>
      <c r="I299" t="s">
        <v>98</v>
      </c>
      <c r="K299">
        <v>58</v>
      </c>
      <c r="L299" t="s">
        <v>39</v>
      </c>
      <c r="M299" t="s">
        <v>30</v>
      </c>
    </row>
    <row r="300" spans="1:13" x14ac:dyDescent="0.3">
      <c r="A300" t="s">
        <v>638</v>
      </c>
      <c r="B300" s="4">
        <v>45349</v>
      </c>
      <c r="C300" s="6">
        <v>0.20208333333333334</v>
      </c>
      <c r="D300" t="s">
        <v>639</v>
      </c>
      <c r="E300" t="s">
        <v>69</v>
      </c>
      <c r="F300">
        <v>19</v>
      </c>
      <c r="G300" t="s">
        <v>369</v>
      </c>
      <c r="H300" t="s">
        <v>637</v>
      </c>
      <c r="I300" t="s">
        <v>24</v>
      </c>
      <c r="K300">
        <v>36</v>
      </c>
      <c r="L300" t="s">
        <v>39</v>
      </c>
      <c r="M300" t="s">
        <v>30</v>
      </c>
    </row>
    <row r="301" spans="1:13" x14ac:dyDescent="0.3">
      <c r="A301" t="s">
        <v>640</v>
      </c>
      <c r="B301" s="4">
        <v>45339</v>
      </c>
      <c r="C301" s="6">
        <v>0.98472222222222228</v>
      </c>
      <c r="D301" t="s">
        <v>641</v>
      </c>
      <c r="E301" t="s">
        <v>21</v>
      </c>
      <c r="F301">
        <v>41</v>
      </c>
      <c r="G301" t="s">
        <v>135</v>
      </c>
      <c r="H301" t="s">
        <v>637</v>
      </c>
      <c r="I301" t="s">
        <v>24</v>
      </c>
      <c r="K301">
        <v>23</v>
      </c>
      <c r="L301" t="s">
        <v>56</v>
      </c>
      <c r="M301" t="s">
        <v>26</v>
      </c>
    </row>
    <row r="302" spans="1:13" x14ac:dyDescent="0.3">
      <c r="A302" t="s">
        <v>642</v>
      </c>
      <c r="B302" s="4">
        <v>45350</v>
      </c>
      <c r="C302" s="6">
        <v>0.88472222222222219</v>
      </c>
      <c r="D302" t="s">
        <v>643</v>
      </c>
      <c r="E302" t="s">
        <v>21</v>
      </c>
      <c r="F302">
        <v>8</v>
      </c>
      <c r="G302" t="s">
        <v>135</v>
      </c>
      <c r="H302" t="s">
        <v>637</v>
      </c>
      <c r="I302" t="s">
        <v>24</v>
      </c>
      <c r="K302">
        <v>31</v>
      </c>
      <c r="L302" t="s">
        <v>48</v>
      </c>
      <c r="M302" t="s">
        <v>30</v>
      </c>
    </row>
    <row r="303" spans="1:13" x14ac:dyDescent="0.3">
      <c r="A303" t="s">
        <v>644</v>
      </c>
      <c r="B303" s="4">
        <v>45344</v>
      </c>
      <c r="C303" s="6">
        <v>0.45277777777777778</v>
      </c>
      <c r="D303" t="s">
        <v>645</v>
      </c>
      <c r="E303" t="s">
        <v>69</v>
      </c>
      <c r="F303">
        <v>42</v>
      </c>
      <c r="G303" t="s">
        <v>214</v>
      </c>
      <c r="H303" t="s">
        <v>646</v>
      </c>
      <c r="I303" t="s">
        <v>98</v>
      </c>
      <c r="K303">
        <v>54</v>
      </c>
      <c r="L303" t="s">
        <v>56</v>
      </c>
      <c r="M303" t="s">
        <v>30</v>
      </c>
    </row>
    <row r="304" spans="1:13" x14ac:dyDescent="0.3">
      <c r="A304" t="s">
        <v>647</v>
      </c>
      <c r="B304" s="4">
        <v>45340</v>
      </c>
      <c r="C304" s="6">
        <v>0.17152777777777778</v>
      </c>
      <c r="D304" t="s">
        <v>648</v>
      </c>
      <c r="E304" t="s">
        <v>69</v>
      </c>
      <c r="F304">
        <v>22</v>
      </c>
      <c r="G304" t="s">
        <v>369</v>
      </c>
      <c r="H304" t="s">
        <v>646</v>
      </c>
      <c r="I304" t="s">
        <v>98</v>
      </c>
      <c r="K304">
        <v>13</v>
      </c>
      <c r="L304" t="s">
        <v>25</v>
      </c>
      <c r="M304" t="s">
        <v>26</v>
      </c>
    </row>
    <row r="305" spans="1:13" x14ac:dyDescent="0.3">
      <c r="A305" t="s">
        <v>649</v>
      </c>
      <c r="B305" s="4">
        <v>45342</v>
      </c>
      <c r="C305" s="6">
        <v>2.9861111111111113E-2</v>
      </c>
      <c r="D305" t="s">
        <v>650</v>
      </c>
      <c r="E305" t="s">
        <v>21</v>
      </c>
      <c r="F305">
        <v>68</v>
      </c>
      <c r="G305" t="s">
        <v>307</v>
      </c>
      <c r="H305" t="s">
        <v>646</v>
      </c>
      <c r="I305" t="s">
        <v>24</v>
      </c>
      <c r="K305">
        <v>60</v>
      </c>
      <c r="L305" t="s">
        <v>53</v>
      </c>
      <c r="M305" t="s">
        <v>30</v>
      </c>
    </row>
    <row r="306" spans="1:13" x14ac:dyDescent="0.3">
      <c r="A306" t="s">
        <v>651</v>
      </c>
      <c r="B306" s="4">
        <v>45326</v>
      </c>
      <c r="C306" s="6">
        <v>0.58333333333333337</v>
      </c>
      <c r="D306" t="s">
        <v>652</v>
      </c>
      <c r="E306" t="s">
        <v>69</v>
      </c>
      <c r="F306">
        <v>37</v>
      </c>
      <c r="G306" t="s">
        <v>369</v>
      </c>
      <c r="H306" t="s">
        <v>653</v>
      </c>
      <c r="I306" t="s">
        <v>98</v>
      </c>
      <c r="K306">
        <v>35</v>
      </c>
      <c r="L306" t="s">
        <v>36</v>
      </c>
      <c r="M306" t="s">
        <v>30</v>
      </c>
    </row>
    <row r="307" spans="1:13" x14ac:dyDescent="0.3">
      <c r="A307" t="s">
        <v>654</v>
      </c>
      <c r="B307" s="4">
        <v>45335</v>
      </c>
      <c r="C307" s="6">
        <v>0.85833333333333328</v>
      </c>
      <c r="D307" t="s">
        <v>655</v>
      </c>
      <c r="E307" t="s">
        <v>21</v>
      </c>
      <c r="F307">
        <v>70</v>
      </c>
      <c r="G307" t="s">
        <v>307</v>
      </c>
      <c r="H307" t="s">
        <v>653</v>
      </c>
      <c r="I307" t="s">
        <v>98</v>
      </c>
      <c r="K307">
        <v>23</v>
      </c>
      <c r="L307" t="s">
        <v>53</v>
      </c>
      <c r="M307" t="s">
        <v>26</v>
      </c>
    </row>
    <row r="308" spans="1:13" x14ac:dyDescent="0.3">
      <c r="A308" t="s">
        <v>656</v>
      </c>
      <c r="B308" s="4">
        <v>45342</v>
      </c>
      <c r="C308" s="6">
        <v>0.85833333333333328</v>
      </c>
      <c r="D308" t="s">
        <v>657</v>
      </c>
      <c r="E308" t="s">
        <v>21</v>
      </c>
      <c r="F308">
        <v>19</v>
      </c>
      <c r="G308" t="s">
        <v>214</v>
      </c>
      <c r="H308" t="s">
        <v>653</v>
      </c>
      <c r="I308" t="s">
        <v>98</v>
      </c>
      <c r="K308">
        <v>24</v>
      </c>
      <c r="L308" t="s">
        <v>39</v>
      </c>
      <c r="M308" t="s">
        <v>26</v>
      </c>
    </row>
    <row r="309" spans="1:13" x14ac:dyDescent="0.3">
      <c r="A309" t="s">
        <v>658</v>
      </c>
      <c r="B309" s="4">
        <v>45340</v>
      </c>
      <c r="C309" s="6">
        <v>0.84861111111111109</v>
      </c>
      <c r="D309" t="s">
        <v>659</v>
      </c>
      <c r="E309" t="s">
        <v>69</v>
      </c>
      <c r="F309">
        <v>13</v>
      </c>
      <c r="G309" t="s">
        <v>338</v>
      </c>
      <c r="H309" t="s">
        <v>653</v>
      </c>
      <c r="I309" t="s">
        <v>24</v>
      </c>
      <c r="K309">
        <v>27</v>
      </c>
      <c r="L309" t="s">
        <v>39</v>
      </c>
      <c r="M309" t="s">
        <v>26</v>
      </c>
    </row>
    <row r="310" spans="1:13" x14ac:dyDescent="0.3">
      <c r="A310" t="s">
        <v>660</v>
      </c>
      <c r="B310" s="4">
        <v>45346</v>
      </c>
      <c r="C310" s="6">
        <v>0.21180555555555555</v>
      </c>
      <c r="D310" t="s">
        <v>661</v>
      </c>
      <c r="E310" t="s">
        <v>69</v>
      </c>
      <c r="F310">
        <v>43</v>
      </c>
      <c r="G310" t="s">
        <v>338</v>
      </c>
      <c r="H310" t="s">
        <v>653</v>
      </c>
      <c r="I310" t="s">
        <v>24</v>
      </c>
      <c r="K310">
        <v>14</v>
      </c>
      <c r="L310" t="s">
        <v>56</v>
      </c>
      <c r="M310" t="s">
        <v>26</v>
      </c>
    </row>
    <row r="311" spans="1:13" x14ac:dyDescent="0.3">
      <c r="A311" t="s">
        <v>662</v>
      </c>
      <c r="B311" s="4">
        <v>45349</v>
      </c>
      <c r="C311" s="6">
        <v>0.87152777777777779</v>
      </c>
      <c r="D311" t="s">
        <v>663</v>
      </c>
      <c r="E311" t="s">
        <v>69</v>
      </c>
      <c r="F311">
        <v>36</v>
      </c>
      <c r="G311" t="s">
        <v>338</v>
      </c>
      <c r="H311" t="s">
        <v>653</v>
      </c>
      <c r="I311" t="s">
        <v>24</v>
      </c>
      <c r="K311">
        <v>42</v>
      </c>
      <c r="L311" t="s">
        <v>36</v>
      </c>
      <c r="M311" t="s">
        <v>30</v>
      </c>
    </row>
    <row r="312" spans="1:13" x14ac:dyDescent="0.3">
      <c r="A312" t="s">
        <v>664</v>
      </c>
      <c r="B312" s="4">
        <v>45342</v>
      </c>
      <c r="C312" s="6">
        <v>0.40694444444444444</v>
      </c>
      <c r="D312" t="s">
        <v>665</v>
      </c>
      <c r="E312" t="s">
        <v>21</v>
      </c>
      <c r="F312">
        <v>7</v>
      </c>
      <c r="G312" t="s">
        <v>214</v>
      </c>
      <c r="H312" t="s">
        <v>603</v>
      </c>
      <c r="I312" t="s">
        <v>98</v>
      </c>
      <c r="J312">
        <v>8</v>
      </c>
      <c r="K312">
        <v>29</v>
      </c>
      <c r="L312" t="s">
        <v>48</v>
      </c>
      <c r="M312" t="s">
        <v>26</v>
      </c>
    </row>
    <row r="313" spans="1:13" x14ac:dyDescent="0.3">
      <c r="A313" t="s">
        <v>666</v>
      </c>
      <c r="B313" s="4">
        <v>45339</v>
      </c>
      <c r="C313" s="6">
        <v>2.6388888888888889E-2</v>
      </c>
      <c r="D313" t="s">
        <v>667</v>
      </c>
      <c r="E313" t="s">
        <v>21</v>
      </c>
      <c r="F313">
        <v>26</v>
      </c>
      <c r="G313" t="s">
        <v>338</v>
      </c>
      <c r="H313" t="s">
        <v>603</v>
      </c>
      <c r="I313" t="s">
        <v>24</v>
      </c>
      <c r="J313">
        <v>9</v>
      </c>
      <c r="K313">
        <v>59</v>
      </c>
      <c r="L313" t="s">
        <v>25</v>
      </c>
      <c r="M313" t="s">
        <v>30</v>
      </c>
    </row>
    <row r="314" spans="1:13" x14ac:dyDescent="0.3">
      <c r="A314" t="s">
        <v>668</v>
      </c>
      <c r="B314" s="4">
        <v>45327</v>
      </c>
      <c r="C314" s="6">
        <v>0.43333333333333335</v>
      </c>
      <c r="D314" t="s">
        <v>669</v>
      </c>
      <c r="E314" t="s">
        <v>69</v>
      </c>
      <c r="F314">
        <v>9</v>
      </c>
      <c r="G314" t="s">
        <v>338</v>
      </c>
      <c r="H314" t="s">
        <v>618</v>
      </c>
      <c r="I314" t="s">
        <v>98</v>
      </c>
      <c r="J314">
        <v>3</v>
      </c>
      <c r="K314">
        <v>49</v>
      </c>
      <c r="L314" t="s">
        <v>48</v>
      </c>
      <c r="M314" t="s">
        <v>30</v>
      </c>
    </row>
    <row r="315" spans="1:13" x14ac:dyDescent="0.3">
      <c r="A315" t="s">
        <v>670</v>
      </c>
      <c r="B315" s="4">
        <v>45327</v>
      </c>
      <c r="C315" s="6">
        <v>0.32013888888888886</v>
      </c>
      <c r="D315" t="s">
        <v>671</v>
      </c>
      <c r="E315" t="s">
        <v>69</v>
      </c>
      <c r="F315">
        <v>32</v>
      </c>
      <c r="G315" t="s">
        <v>307</v>
      </c>
      <c r="H315" t="s">
        <v>618</v>
      </c>
      <c r="I315" t="s">
        <v>98</v>
      </c>
      <c r="J315">
        <v>1</v>
      </c>
      <c r="K315">
        <v>11</v>
      </c>
      <c r="L315" t="s">
        <v>36</v>
      </c>
      <c r="M315" t="s">
        <v>26</v>
      </c>
    </row>
    <row r="316" spans="1:13" x14ac:dyDescent="0.3">
      <c r="A316" t="s">
        <v>672</v>
      </c>
      <c r="B316" s="4">
        <v>45330</v>
      </c>
      <c r="C316" s="6">
        <v>0.8930555555555556</v>
      </c>
      <c r="D316" t="s">
        <v>673</v>
      </c>
      <c r="E316" t="s">
        <v>69</v>
      </c>
      <c r="F316">
        <v>76</v>
      </c>
      <c r="G316" t="s">
        <v>214</v>
      </c>
      <c r="H316" t="s">
        <v>646</v>
      </c>
      <c r="I316" t="s">
        <v>98</v>
      </c>
      <c r="J316">
        <v>3</v>
      </c>
      <c r="K316">
        <v>15</v>
      </c>
      <c r="L316" t="s">
        <v>29</v>
      </c>
      <c r="M316" t="s">
        <v>26</v>
      </c>
    </row>
    <row r="317" spans="1:13" x14ac:dyDescent="0.3">
      <c r="A317" t="s">
        <v>674</v>
      </c>
      <c r="B317" s="4">
        <v>45338</v>
      </c>
      <c r="C317" s="6">
        <v>0.21249999999999999</v>
      </c>
      <c r="D317" t="s">
        <v>675</v>
      </c>
      <c r="E317" t="s">
        <v>69</v>
      </c>
      <c r="F317">
        <v>3</v>
      </c>
      <c r="G317" t="s">
        <v>214</v>
      </c>
      <c r="H317" t="s">
        <v>603</v>
      </c>
      <c r="I317" t="s">
        <v>98</v>
      </c>
      <c r="J317">
        <v>2</v>
      </c>
      <c r="K317">
        <v>14</v>
      </c>
      <c r="L317" t="s">
        <v>48</v>
      </c>
      <c r="M317" t="s">
        <v>26</v>
      </c>
    </row>
    <row r="318" spans="1:13" x14ac:dyDescent="0.3">
      <c r="A318" t="s">
        <v>676</v>
      </c>
      <c r="B318" s="4">
        <v>45351</v>
      </c>
      <c r="C318" s="6">
        <v>0.96666666666666667</v>
      </c>
      <c r="D318" t="s">
        <v>677</v>
      </c>
      <c r="E318" t="s">
        <v>21</v>
      </c>
      <c r="F318">
        <v>15</v>
      </c>
      <c r="G318" t="s">
        <v>214</v>
      </c>
      <c r="H318" t="s">
        <v>618</v>
      </c>
      <c r="I318" t="s">
        <v>98</v>
      </c>
      <c r="J318">
        <v>7</v>
      </c>
      <c r="K318">
        <v>33</v>
      </c>
      <c r="L318" t="s">
        <v>39</v>
      </c>
      <c r="M318" t="s">
        <v>30</v>
      </c>
    </row>
    <row r="319" spans="1:13" x14ac:dyDescent="0.3">
      <c r="A319" t="s">
        <v>678</v>
      </c>
      <c r="B319" s="4">
        <v>45327</v>
      </c>
      <c r="C319" s="6">
        <v>0.7319444444444444</v>
      </c>
      <c r="D319" t="s">
        <v>679</v>
      </c>
      <c r="E319" t="s">
        <v>69</v>
      </c>
      <c r="F319">
        <v>38</v>
      </c>
      <c r="G319" t="s">
        <v>135</v>
      </c>
      <c r="H319" t="s">
        <v>637</v>
      </c>
      <c r="I319" t="s">
        <v>24</v>
      </c>
      <c r="J319">
        <v>2</v>
      </c>
      <c r="K319">
        <v>38</v>
      </c>
      <c r="L319" t="s">
        <v>36</v>
      </c>
      <c r="M319" t="s">
        <v>30</v>
      </c>
    </row>
    <row r="320" spans="1:13" x14ac:dyDescent="0.3">
      <c r="A320" t="s">
        <v>680</v>
      </c>
      <c r="B320" s="4">
        <v>45351</v>
      </c>
      <c r="C320" s="6">
        <v>0.78472222222222221</v>
      </c>
      <c r="D320" t="s">
        <v>681</v>
      </c>
      <c r="E320" t="s">
        <v>69</v>
      </c>
      <c r="F320">
        <v>31</v>
      </c>
      <c r="G320" t="s">
        <v>135</v>
      </c>
      <c r="H320" t="s">
        <v>603</v>
      </c>
      <c r="I320" t="s">
        <v>24</v>
      </c>
      <c r="J320">
        <v>0</v>
      </c>
      <c r="K320">
        <v>47</v>
      </c>
      <c r="L320" t="s">
        <v>36</v>
      </c>
      <c r="M320" t="s">
        <v>30</v>
      </c>
    </row>
    <row r="321" spans="1:13" x14ac:dyDescent="0.3">
      <c r="A321" t="s">
        <v>682</v>
      </c>
      <c r="B321" s="4">
        <v>45344</v>
      </c>
      <c r="C321" s="6">
        <v>0.69027777777777777</v>
      </c>
      <c r="D321" t="s">
        <v>683</v>
      </c>
      <c r="E321" t="s">
        <v>21</v>
      </c>
      <c r="F321">
        <v>59</v>
      </c>
      <c r="G321" t="s">
        <v>135</v>
      </c>
      <c r="H321" t="s">
        <v>646</v>
      </c>
      <c r="I321" t="s">
        <v>24</v>
      </c>
      <c r="J321">
        <v>10</v>
      </c>
      <c r="K321">
        <v>46</v>
      </c>
      <c r="L321" t="s">
        <v>33</v>
      </c>
      <c r="M321" t="s">
        <v>30</v>
      </c>
    </row>
    <row r="322" spans="1:13" x14ac:dyDescent="0.3">
      <c r="A322" t="s">
        <v>684</v>
      </c>
      <c r="B322" s="4">
        <v>45327</v>
      </c>
      <c r="C322" s="6">
        <v>0.3</v>
      </c>
      <c r="D322" t="s">
        <v>685</v>
      </c>
      <c r="E322" t="s">
        <v>21</v>
      </c>
      <c r="F322">
        <v>12</v>
      </c>
      <c r="G322" t="s">
        <v>135</v>
      </c>
      <c r="H322" t="s">
        <v>603</v>
      </c>
      <c r="I322" t="s">
        <v>24</v>
      </c>
      <c r="J322">
        <v>0</v>
      </c>
      <c r="K322">
        <v>45</v>
      </c>
      <c r="L322" t="s">
        <v>39</v>
      </c>
      <c r="M322" t="s">
        <v>30</v>
      </c>
    </row>
    <row r="323" spans="1:13" x14ac:dyDescent="0.3">
      <c r="A323" t="s">
        <v>686</v>
      </c>
      <c r="B323" s="4">
        <v>45323</v>
      </c>
      <c r="C323" s="6">
        <v>0.17430555555555555</v>
      </c>
      <c r="D323" t="s">
        <v>687</v>
      </c>
      <c r="E323" t="s">
        <v>69</v>
      </c>
      <c r="F323">
        <v>32</v>
      </c>
      <c r="G323" t="s">
        <v>22</v>
      </c>
      <c r="H323" t="s">
        <v>637</v>
      </c>
      <c r="I323" t="s">
        <v>98</v>
      </c>
      <c r="J323">
        <v>5</v>
      </c>
      <c r="K323">
        <v>60</v>
      </c>
      <c r="L323" t="s">
        <v>36</v>
      </c>
      <c r="M323" t="s">
        <v>30</v>
      </c>
    </row>
    <row r="324" spans="1:13" x14ac:dyDescent="0.3">
      <c r="A324" t="s">
        <v>688</v>
      </c>
      <c r="B324" s="4">
        <v>45324</v>
      </c>
      <c r="C324" s="6">
        <v>0.58888888888888891</v>
      </c>
      <c r="D324" t="s">
        <v>689</v>
      </c>
      <c r="E324" t="s">
        <v>21</v>
      </c>
      <c r="F324">
        <v>61</v>
      </c>
      <c r="G324" t="s">
        <v>22</v>
      </c>
      <c r="H324" t="s">
        <v>646</v>
      </c>
      <c r="I324" t="s">
        <v>24</v>
      </c>
      <c r="J324">
        <v>8</v>
      </c>
      <c r="K324">
        <v>58</v>
      </c>
      <c r="L324" t="s">
        <v>53</v>
      </c>
      <c r="M324" t="s">
        <v>30</v>
      </c>
    </row>
    <row r="325" spans="1:13" x14ac:dyDescent="0.3">
      <c r="A325" t="s">
        <v>690</v>
      </c>
      <c r="B325" s="4">
        <v>45336</v>
      </c>
      <c r="C325" s="6">
        <v>0.95972222222222225</v>
      </c>
      <c r="D325" t="s">
        <v>691</v>
      </c>
      <c r="E325" t="s">
        <v>21</v>
      </c>
      <c r="F325">
        <v>42</v>
      </c>
      <c r="G325" t="s">
        <v>22</v>
      </c>
      <c r="H325" t="s">
        <v>603</v>
      </c>
      <c r="I325" t="s">
        <v>24</v>
      </c>
      <c r="J325">
        <v>4</v>
      </c>
      <c r="K325">
        <v>39</v>
      </c>
      <c r="L325" t="s">
        <v>56</v>
      </c>
      <c r="M325" t="s">
        <v>30</v>
      </c>
    </row>
    <row r="326" spans="1:13" x14ac:dyDescent="0.3">
      <c r="A326" t="s">
        <v>692</v>
      </c>
      <c r="B326" s="4">
        <v>45340</v>
      </c>
      <c r="C326" s="6">
        <v>0.4826388888888889</v>
      </c>
      <c r="D326" t="s">
        <v>693</v>
      </c>
      <c r="E326" t="s">
        <v>21</v>
      </c>
      <c r="F326">
        <v>30</v>
      </c>
      <c r="G326" t="s">
        <v>22</v>
      </c>
      <c r="H326" t="s">
        <v>603</v>
      </c>
      <c r="I326" t="s">
        <v>24</v>
      </c>
      <c r="J326">
        <v>8</v>
      </c>
      <c r="K326">
        <v>58</v>
      </c>
      <c r="L326" t="s">
        <v>25</v>
      </c>
      <c r="M326" t="s">
        <v>30</v>
      </c>
    </row>
    <row r="327" spans="1:13" x14ac:dyDescent="0.3">
      <c r="A327" t="s">
        <v>694</v>
      </c>
      <c r="B327" s="4">
        <v>45323</v>
      </c>
      <c r="C327" s="6">
        <v>0.28263888888888888</v>
      </c>
      <c r="D327" t="s">
        <v>695</v>
      </c>
      <c r="E327" t="s">
        <v>69</v>
      </c>
      <c r="F327">
        <v>66</v>
      </c>
      <c r="G327" t="s">
        <v>135</v>
      </c>
      <c r="H327" t="s">
        <v>532</v>
      </c>
      <c r="I327" t="s">
        <v>98</v>
      </c>
      <c r="J327">
        <v>1</v>
      </c>
      <c r="K327">
        <v>16</v>
      </c>
      <c r="L327" t="s">
        <v>53</v>
      </c>
      <c r="M327" t="s">
        <v>26</v>
      </c>
    </row>
    <row r="328" spans="1:13" x14ac:dyDescent="0.3">
      <c r="A328" t="s">
        <v>696</v>
      </c>
      <c r="B328" s="4">
        <v>45344</v>
      </c>
      <c r="C328" s="6">
        <v>0.68611111111111112</v>
      </c>
      <c r="D328" t="s">
        <v>697</v>
      </c>
      <c r="E328" t="s">
        <v>21</v>
      </c>
      <c r="F328">
        <v>73</v>
      </c>
      <c r="G328" t="s">
        <v>135</v>
      </c>
      <c r="H328" t="s">
        <v>532</v>
      </c>
      <c r="I328" t="s">
        <v>98</v>
      </c>
      <c r="J328">
        <v>8</v>
      </c>
      <c r="K328">
        <v>32</v>
      </c>
      <c r="L328" t="s">
        <v>29</v>
      </c>
      <c r="M328" t="s">
        <v>30</v>
      </c>
    </row>
    <row r="329" spans="1:13" x14ac:dyDescent="0.3">
      <c r="A329" t="s">
        <v>698</v>
      </c>
      <c r="B329" s="4">
        <v>45338</v>
      </c>
      <c r="C329" s="6">
        <v>0.33680555555555558</v>
      </c>
      <c r="D329" t="s">
        <v>699</v>
      </c>
      <c r="E329" t="s">
        <v>21</v>
      </c>
      <c r="F329">
        <v>78</v>
      </c>
      <c r="G329" t="s">
        <v>386</v>
      </c>
      <c r="H329" t="s">
        <v>532</v>
      </c>
      <c r="I329" t="s">
        <v>24</v>
      </c>
      <c r="J329">
        <v>1</v>
      </c>
      <c r="K329">
        <v>28</v>
      </c>
      <c r="L329" t="s">
        <v>29</v>
      </c>
      <c r="M329" t="s">
        <v>26</v>
      </c>
    </row>
    <row r="330" spans="1:13" x14ac:dyDescent="0.3">
      <c r="A330" t="s">
        <v>700</v>
      </c>
      <c r="B330" s="4">
        <v>45337</v>
      </c>
      <c r="C330" s="6">
        <v>0.39791666666666664</v>
      </c>
      <c r="D330" t="s">
        <v>701</v>
      </c>
      <c r="E330" t="s">
        <v>69</v>
      </c>
      <c r="F330">
        <v>47</v>
      </c>
      <c r="G330" t="s">
        <v>338</v>
      </c>
      <c r="H330" t="s">
        <v>532</v>
      </c>
      <c r="I330" t="s">
        <v>98</v>
      </c>
      <c r="J330">
        <v>0</v>
      </c>
      <c r="K330">
        <v>24</v>
      </c>
      <c r="L330" t="s">
        <v>56</v>
      </c>
      <c r="M330" t="s">
        <v>26</v>
      </c>
    </row>
    <row r="331" spans="1:13" x14ac:dyDescent="0.3">
      <c r="A331" t="s">
        <v>702</v>
      </c>
      <c r="B331" s="4">
        <v>45330</v>
      </c>
      <c r="C331" s="6">
        <v>0.92986111111111114</v>
      </c>
      <c r="D331" t="s">
        <v>703</v>
      </c>
      <c r="E331" t="s">
        <v>69</v>
      </c>
      <c r="F331">
        <v>41</v>
      </c>
      <c r="G331" t="s">
        <v>214</v>
      </c>
      <c r="H331" t="s">
        <v>532</v>
      </c>
      <c r="I331" t="s">
        <v>98</v>
      </c>
      <c r="J331">
        <v>0</v>
      </c>
      <c r="K331">
        <v>49</v>
      </c>
      <c r="L331" t="s">
        <v>56</v>
      </c>
      <c r="M331" t="s">
        <v>30</v>
      </c>
    </row>
    <row r="332" spans="1:13" x14ac:dyDescent="0.3">
      <c r="A332" t="s">
        <v>704</v>
      </c>
      <c r="B332" s="4">
        <v>45330</v>
      </c>
      <c r="C332" s="6">
        <v>0.50347222222222221</v>
      </c>
      <c r="D332" t="s">
        <v>705</v>
      </c>
      <c r="E332" t="s">
        <v>69</v>
      </c>
      <c r="F332">
        <v>33</v>
      </c>
      <c r="G332" t="s">
        <v>214</v>
      </c>
      <c r="H332" t="s">
        <v>532</v>
      </c>
      <c r="I332" t="s">
        <v>24</v>
      </c>
      <c r="J332">
        <v>4</v>
      </c>
      <c r="K332">
        <v>48</v>
      </c>
      <c r="L332" t="s">
        <v>36</v>
      </c>
      <c r="M332" t="s">
        <v>30</v>
      </c>
    </row>
    <row r="333" spans="1:13" x14ac:dyDescent="0.3">
      <c r="A333" t="s">
        <v>706</v>
      </c>
      <c r="B333" s="4">
        <v>45351</v>
      </c>
      <c r="C333" s="6">
        <v>2.7777777777777776E-2</v>
      </c>
      <c r="D333" t="s">
        <v>707</v>
      </c>
      <c r="E333" t="s">
        <v>21</v>
      </c>
      <c r="F333">
        <v>73</v>
      </c>
      <c r="G333" t="s">
        <v>386</v>
      </c>
      <c r="H333" t="s">
        <v>532</v>
      </c>
      <c r="I333" t="s">
        <v>24</v>
      </c>
      <c r="J333">
        <v>2</v>
      </c>
      <c r="K333">
        <v>53</v>
      </c>
      <c r="L333" t="s">
        <v>29</v>
      </c>
      <c r="M333" t="s">
        <v>30</v>
      </c>
    </row>
    <row r="334" spans="1:13" x14ac:dyDescent="0.3">
      <c r="A334" t="s">
        <v>708</v>
      </c>
      <c r="B334" s="4">
        <v>45333</v>
      </c>
      <c r="C334" s="6">
        <v>0.59722222222222221</v>
      </c>
      <c r="D334" t="s">
        <v>709</v>
      </c>
      <c r="E334" t="s">
        <v>21</v>
      </c>
      <c r="F334">
        <v>72</v>
      </c>
      <c r="G334" t="s">
        <v>369</v>
      </c>
      <c r="H334" t="s">
        <v>532</v>
      </c>
      <c r="I334" t="s">
        <v>24</v>
      </c>
      <c r="J334">
        <v>9</v>
      </c>
      <c r="K334">
        <v>47</v>
      </c>
      <c r="L334" t="s">
        <v>29</v>
      </c>
      <c r="M334" t="s">
        <v>30</v>
      </c>
    </row>
    <row r="335" spans="1:13" x14ac:dyDescent="0.3">
      <c r="A335" t="s">
        <v>710</v>
      </c>
      <c r="B335" s="4">
        <v>45330</v>
      </c>
      <c r="C335" s="6">
        <v>0.78611111111111109</v>
      </c>
      <c r="D335" t="s">
        <v>711</v>
      </c>
      <c r="E335" t="s">
        <v>21</v>
      </c>
      <c r="F335">
        <v>35</v>
      </c>
      <c r="G335" t="s">
        <v>214</v>
      </c>
      <c r="H335" t="s">
        <v>532</v>
      </c>
      <c r="I335" t="s">
        <v>24</v>
      </c>
      <c r="J335">
        <v>9</v>
      </c>
      <c r="K335">
        <v>42</v>
      </c>
      <c r="L335" t="s">
        <v>36</v>
      </c>
      <c r="M335" t="s">
        <v>30</v>
      </c>
    </row>
    <row r="336" spans="1:13" x14ac:dyDescent="0.3">
      <c r="A336" t="s">
        <v>712</v>
      </c>
      <c r="B336" s="4">
        <v>45325</v>
      </c>
      <c r="C336" s="6">
        <v>0.28888888888888886</v>
      </c>
      <c r="D336" t="s">
        <v>713</v>
      </c>
      <c r="E336" t="s">
        <v>21</v>
      </c>
      <c r="F336">
        <v>46</v>
      </c>
      <c r="G336" t="s">
        <v>22</v>
      </c>
      <c r="H336" t="s">
        <v>532</v>
      </c>
      <c r="I336" t="s">
        <v>98</v>
      </c>
      <c r="J336">
        <v>5</v>
      </c>
      <c r="K336">
        <v>32</v>
      </c>
      <c r="L336" t="s">
        <v>56</v>
      </c>
      <c r="M336" t="s">
        <v>30</v>
      </c>
    </row>
    <row r="337" spans="1:13" x14ac:dyDescent="0.3">
      <c r="A337" t="s">
        <v>714</v>
      </c>
      <c r="B337" s="4">
        <v>45345</v>
      </c>
      <c r="C337" s="6">
        <v>0.84444444444444444</v>
      </c>
      <c r="D337" t="s">
        <v>715</v>
      </c>
      <c r="E337" t="s">
        <v>69</v>
      </c>
      <c r="F337">
        <v>54</v>
      </c>
      <c r="G337" t="s">
        <v>22</v>
      </c>
      <c r="H337" t="s">
        <v>532</v>
      </c>
      <c r="I337" t="s">
        <v>24</v>
      </c>
      <c r="J337">
        <v>1</v>
      </c>
      <c r="K337">
        <v>60</v>
      </c>
      <c r="L337" t="s">
        <v>33</v>
      </c>
      <c r="M337" t="s">
        <v>30</v>
      </c>
    </row>
    <row r="338" spans="1:13" x14ac:dyDescent="0.3">
      <c r="A338" t="s">
        <v>716</v>
      </c>
      <c r="B338" s="4">
        <v>45339</v>
      </c>
      <c r="C338" s="6">
        <v>0.21458333333333332</v>
      </c>
      <c r="D338" t="s">
        <v>717</v>
      </c>
      <c r="E338" t="s">
        <v>69</v>
      </c>
      <c r="F338">
        <v>26</v>
      </c>
      <c r="G338" t="s">
        <v>214</v>
      </c>
      <c r="H338" t="s">
        <v>411</v>
      </c>
      <c r="I338" t="s">
        <v>98</v>
      </c>
      <c r="J338">
        <v>3</v>
      </c>
      <c r="K338">
        <v>22</v>
      </c>
      <c r="L338" t="s">
        <v>25</v>
      </c>
      <c r="M338" t="s">
        <v>26</v>
      </c>
    </row>
    <row r="339" spans="1:13" x14ac:dyDescent="0.3">
      <c r="A339" t="s">
        <v>718</v>
      </c>
      <c r="B339" s="4">
        <v>45329</v>
      </c>
      <c r="C339" s="6">
        <v>0.9194444444444444</v>
      </c>
      <c r="D339" t="s">
        <v>719</v>
      </c>
      <c r="E339" t="s">
        <v>21</v>
      </c>
      <c r="F339">
        <v>44</v>
      </c>
      <c r="G339" t="s">
        <v>214</v>
      </c>
      <c r="H339" t="s">
        <v>411</v>
      </c>
      <c r="I339" t="s">
        <v>24</v>
      </c>
      <c r="J339">
        <v>0</v>
      </c>
      <c r="K339">
        <v>32</v>
      </c>
      <c r="L339" t="s">
        <v>56</v>
      </c>
      <c r="M339" t="s">
        <v>30</v>
      </c>
    </row>
    <row r="340" spans="1:13" x14ac:dyDescent="0.3">
      <c r="A340" t="s">
        <v>720</v>
      </c>
      <c r="B340" s="4">
        <v>45323</v>
      </c>
      <c r="C340" s="6">
        <v>0.87013888888888891</v>
      </c>
      <c r="D340" t="s">
        <v>721</v>
      </c>
      <c r="E340" t="s">
        <v>21</v>
      </c>
      <c r="F340">
        <v>21</v>
      </c>
      <c r="G340" t="s">
        <v>214</v>
      </c>
      <c r="H340" t="s">
        <v>411</v>
      </c>
      <c r="I340" t="s">
        <v>24</v>
      </c>
      <c r="J340">
        <v>4</v>
      </c>
      <c r="K340">
        <v>36</v>
      </c>
      <c r="L340" t="s">
        <v>25</v>
      </c>
      <c r="M340" t="s">
        <v>30</v>
      </c>
    </row>
    <row r="341" spans="1:13" x14ac:dyDescent="0.3">
      <c r="A341" t="s">
        <v>722</v>
      </c>
      <c r="B341" s="4">
        <v>45331</v>
      </c>
      <c r="C341" s="6">
        <v>0.4909722222222222</v>
      </c>
      <c r="D341" t="s">
        <v>723</v>
      </c>
      <c r="E341" t="s">
        <v>21</v>
      </c>
      <c r="F341">
        <v>68</v>
      </c>
      <c r="G341" t="s">
        <v>307</v>
      </c>
      <c r="H341" t="s">
        <v>411</v>
      </c>
      <c r="I341" t="s">
        <v>98</v>
      </c>
      <c r="J341">
        <v>2</v>
      </c>
      <c r="K341">
        <v>17</v>
      </c>
      <c r="L341" t="s">
        <v>53</v>
      </c>
      <c r="M341" t="s">
        <v>26</v>
      </c>
    </row>
    <row r="342" spans="1:13" x14ac:dyDescent="0.3">
      <c r="A342" t="s">
        <v>724</v>
      </c>
      <c r="B342" s="4">
        <v>45326</v>
      </c>
      <c r="C342" s="6">
        <v>0.94027777777777777</v>
      </c>
      <c r="D342" t="s">
        <v>725</v>
      </c>
      <c r="E342" t="s">
        <v>69</v>
      </c>
      <c r="F342">
        <v>24</v>
      </c>
      <c r="G342" t="s">
        <v>386</v>
      </c>
      <c r="H342" t="s">
        <v>411</v>
      </c>
      <c r="I342" t="s">
        <v>24</v>
      </c>
      <c r="J342">
        <v>8</v>
      </c>
      <c r="K342">
        <v>31</v>
      </c>
      <c r="L342" t="s">
        <v>25</v>
      </c>
      <c r="M342" t="s">
        <v>30</v>
      </c>
    </row>
    <row r="343" spans="1:13" x14ac:dyDescent="0.3">
      <c r="A343" t="s">
        <v>726</v>
      </c>
      <c r="B343" s="4">
        <v>45328</v>
      </c>
      <c r="C343" s="6">
        <v>0.27152777777777776</v>
      </c>
      <c r="D343" t="s">
        <v>727</v>
      </c>
      <c r="E343" t="s">
        <v>21</v>
      </c>
      <c r="F343">
        <v>45</v>
      </c>
      <c r="G343" t="s">
        <v>386</v>
      </c>
      <c r="H343" t="s">
        <v>411</v>
      </c>
      <c r="I343" t="s">
        <v>98</v>
      </c>
      <c r="J343">
        <v>9</v>
      </c>
      <c r="K343">
        <v>37</v>
      </c>
      <c r="L343" t="s">
        <v>56</v>
      </c>
      <c r="M343" t="s">
        <v>30</v>
      </c>
    </row>
    <row r="344" spans="1:13" x14ac:dyDescent="0.3">
      <c r="A344" t="s">
        <v>728</v>
      </c>
      <c r="B344" s="4">
        <v>45340</v>
      </c>
      <c r="C344" s="6">
        <v>0.98124999999999996</v>
      </c>
      <c r="D344" t="s">
        <v>729</v>
      </c>
      <c r="E344" t="s">
        <v>21</v>
      </c>
      <c r="F344">
        <v>27</v>
      </c>
      <c r="G344" t="s">
        <v>369</v>
      </c>
      <c r="H344" t="s">
        <v>411</v>
      </c>
      <c r="I344" t="s">
        <v>98</v>
      </c>
      <c r="J344">
        <v>6</v>
      </c>
      <c r="K344">
        <v>25</v>
      </c>
      <c r="L344" t="s">
        <v>25</v>
      </c>
      <c r="M344" t="s">
        <v>26</v>
      </c>
    </row>
    <row r="345" spans="1:13" x14ac:dyDescent="0.3">
      <c r="A345" t="s">
        <v>730</v>
      </c>
      <c r="B345" s="4">
        <v>45328</v>
      </c>
      <c r="C345" s="6">
        <v>0.30069444444444443</v>
      </c>
      <c r="D345" t="s">
        <v>731</v>
      </c>
      <c r="E345" t="s">
        <v>69</v>
      </c>
      <c r="F345">
        <v>58</v>
      </c>
      <c r="G345" t="s">
        <v>369</v>
      </c>
      <c r="H345" t="s">
        <v>411</v>
      </c>
      <c r="I345" t="s">
        <v>24</v>
      </c>
      <c r="J345">
        <v>7</v>
      </c>
      <c r="K345">
        <v>24</v>
      </c>
      <c r="L345" t="s">
        <v>33</v>
      </c>
      <c r="M345" t="s">
        <v>26</v>
      </c>
    </row>
    <row r="346" spans="1:13" x14ac:dyDescent="0.3">
      <c r="A346" t="s">
        <v>732</v>
      </c>
      <c r="B346" s="4">
        <v>45345</v>
      </c>
      <c r="C346" s="6">
        <v>1.9444444444444445E-2</v>
      </c>
      <c r="D346" t="s">
        <v>733</v>
      </c>
      <c r="E346" t="s">
        <v>21</v>
      </c>
      <c r="F346">
        <v>42</v>
      </c>
      <c r="G346" t="s">
        <v>386</v>
      </c>
      <c r="H346" t="s">
        <v>411</v>
      </c>
      <c r="I346" t="s">
        <v>24</v>
      </c>
      <c r="J346">
        <v>9</v>
      </c>
      <c r="K346">
        <v>19</v>
      </c>
      <c r="L346" t="s">
        <v>56</v>
      </c>
      <c r="M346" t="s">
        <v>26</v>
      </c>
    </row>
    <row r="347" spans="1:13" x14ac:dyDescent="0.3">
      <c r="A347" t="s">
        <v>734</v>
      </c>
      <c r="B347" s="4">
        <v>45344</v>
      </c>
      <c r="C347" s="6">
        <v>0.80138888888888893</v>
      </c>
      <c r="D347" t="s">
        <v>735</v>
      </c>
      <c r="E347" t="s">
        <v>69</v>
      </c>
      <c r="F347">
        <v>38</v>
      </c>
      <c r="G347" t="s">
        <v>135</v>
      </c>
      <c r="H347" t="s">
        <v>411</v>
      </c>
      <c r="I347" t="s">
        <v>98</v>
      </c>
      <c r="J347">
        <v>5</v>
      </c>
      <c r="K347">
        <v>46</v>
      </c>
      <c r="L347" t="s">
        <v>36</v>
      </c>
      <c r="M347" t="s">
        <v>30</v>
      </c>
    </row>
    <row r="348" spans="1:13" x14ac:dyDescent="0.3">
      <c r="A348" t="s">
        <v>736</v>
      </c>
      <c r="B348" s="4">
        <v>45332</v>
      </c>
      <c r="C348" s="6">
        <v>0.37083333333333335</v>
      </c>
      <c r="D348" t="s">
        <v>737</v>
      </c>
      <c r="E348" t="s">
        <v>69</v>
      </c>
      <c r="F348">
        <v>36</v>
      </c>
      <c r="G348" t="s">
        <v>135</v>
      </c>
      <c r="H348" t="s">
        <v>411</v>
      </c>
      <c r="I348" t="s">
        <v>98</v>
      </c>
      <c r="J348">
        <v>7</v>
      </c>
      <c r="K348">
        <v>39</v>
      </c>
      <c r="L348" t="s">
        <v>36</v>
      </c>
      <c r="M348" t="s">
        <v>30</v>
      </c>
    </row>
    <row r="349" spans="1:13" x14ac:dyDescent="0.3">
      <c r="A349" t="s">
        <v>738</v>
      </c>
      <c r="B349" s="4">
        <v>45338</v>
      </c>
      <c r="C349" s="6">
        <v>0.21527777777777779</v>
      </c>
      <c r="D349" t="s">
        <v>739</v>
      </c>
      <c r="E349" t="s">
        <v>69</v>
      </c>
      <c r="F349">
        <v>46</v>
      </c>
      <c r="G349" t="s">
        <v>135</v>
      </c>
      <c r="H349" t="s">
        <v>411</v>
      </c>
      <c r="I349" t="s">
        <v>98</v>
      </c>
      <c r="J349">
        <v>8</v>
      </c>
      <c r="K349">
        <v>51</v>
      </c>
      <c r="L349" t="s">
        <v>56</v>
      </c>
      <c r="M349" t="s">
        <v>30</v>
      </c>
    </row>
    <row r="350" spans="1:13" x14ac:dyDescent="0.3">
      <c r="A350" t="s">
        <v>740</v>
      </c>
      <c r="B350" s="4">
        <v>45334</v>
      </c>
      <c r="C350" s="6">
        <v>0.37013888888888891</v>
      </c>
      <c r="D350" t="s">
        <v>741</v>
      </c>
      <c r="E350" t="s">
        <v>21</v>
      </c>
      <c r="F350">
        <v>79</v>
      </c>
      <c r="G350" t="s">
        <v>135</v>
      </c>
      <c r="H350" t="s">
        <v>411</v>
      </c>
      <c r="I350" t="s">
        <v>98</v>
      </c>
      <c r="J350">
        <v>5</v>
      </c>
      <c r="K350">
        <v>31</v>
      </c>
      <c r="L350" t="s">
        <v>29</v>
      </c>
      <c r="M350" t="s">
        <v>30</v>
      </c>
    </row>
    <row r="351" spans="1:13" x14ac:dyDescent="0.3">
      <c r="A351" t="s">
        <v>742</v>
      </c>
      <c r="B351" s="4">
        <v>45335</v>
      </c>
      <c r="C351" s="6">
        <v>0.52430555555555558</v>
      </c>
      <c r="D351" t="s">
        <v>743</v>
      </c>
      <c r="E351" t="s">
        <v>21</v>
      </c>
      <c r="F351">
        <v>74</v>
      </c>
      <c r="G351" t="s">
        <v>135</v>
      </c>
      <c r="H351" t="s">
        <v>411</v>
      </c>
      <c r="I351" t="s">
        <v>98</v>
      </c>
      <c r="J351">
        <v>8</v>
      </c>
      <c r="K351">
        <v>53</v>
      </c>
      <c r="L351" t="s">
        <v>29</v>
      </c>
      <c r="M351" t="s">
        <v>30</v>
      </c>
    </row>
    <row r="352" spans="1:13" x14ac:dyDescent="0.3">
      <c r="A352" t="s">
        <v>744</v>
      </c>
      <c r="B352" s="4">
        <v>45336</v>
      </c>
      <c r="C352" s="6">
        <v>0.59375</v>
      </c>
      <c r="D352" t="s">
        <v>745</v>
      </c>
      <c r="E352" t="s">
        <v>21</v>
      </c>
      <c r="F352">
        <v>37</v>
      </c>
      <c r="G352" t="s">
        <v>135</v>
      </c>
      <c r="H352" t="s">
        <v>411</v>
      </c>
      <c r="I352" t="s">
        <v>98</v>
      </c>
      <c r="J352">
        <v>9</v>
      </c>
      <c r="K352">
        <v>43</v>
      </c>
      <c r="L352" t="s">
        <v>36</v>
      </c>
      <c r="M352" t="s">
        <v>30</v>
      </c>
    </row>
    <row r="353" spans="1:13" x14ac:dyDescent="0.3">
      <c r="A353" t="s">
        <v>746</v>
      </c>
      <c r="B353" s="4">
        <v>45331</v>
      </c>
      <c r="C353" s="6">
        <v>0.59791666666666665</v>
      </c>
      <c r="D353" t="s">
        <v>747</v>
      </c>
      <c r="E353" t="s">
        <v>21</v>
      </c>
      <c r="F353">
        <v>65</v>
      </c>
      <c r="G353" t="s">
        <v>135</v>
      </c>
      <c r="H353" t="s">
        <v>411</v>
      </c>
      <c r="I353" t="s">
        <v>24</v>
      </c>
      <c r="J353">
        <v>5</v>
      </c>
      <c r="K353">
        <v>25</v>
      </c>
      <c r="L353" t="s">
        <v>53</v>
      </c>
      <c r="M353" t="s">
        <v>26</v>
      </c>
    </row>
    <row r="354" spans="1:13" x14ac:dyDescent="0.3">
      <c r="A354" t="s">
        <v>748</v>
      </c>
      <c r="B354" s="4">
        <v>45350</v>
      </c>
      <c r="C354" s="6">
        <v>4.3055555555555555E-2</v>
      </c>
      <c r="D354" t="s">
        <v>749</v>
      </c>
      <c r="E354" t="s">
        <v>21</v>
      </c>
      <c r="F354">
        <v>37</v>
      </c>
      <c r="G354" t="s">
        <v>135</v>
      </c>
      <c r="H354" t="s">
        <v>411</v>
      </c>
      <c r="I354" t="s">
        <v>24</v>
      </c>
      <c r="J354">
        <v>10</v>
      </c>
      <c r="K354">
        <v>15</v>
      </c>
      <c r="L354" t="s">
        <v>36</v>
      </c>
      <c r="M354" t="s">
        <v>26</v>
      </c>
    </row>
    <row r="355" spans="1:13" x14ac:dyDescent="0.3">
      <c r="A355" t="s">
        <v>750</v>
      </c>
      <c r="B355" s="4">
        <v>45337</v>
      </c>
      <c r="C355" s="6">
        <v>0.9194444444444444</v>
      </c>
      <c r="D355" t="s">
        <v>751</v>
      </c>
      <c r="E355" t="s">
        <v>21</v>
      </c>
      <c r="F355">
        <v>46</v>
      </c>
      <c r="G355" t="s">
        <v>22</v>
      </c>
      <c r="H355" t="s">
        <v>411</v>
      </c>
      <c r="I355" t="s">
        <v>98</v>
      </c>
      <c r="J355">
        <v>1</v>
      </c>
      <c r="K355">
        <v>31</v>
      </c>
      <c r="L355" t="s">
        <v>56</v>
      </c>
      <c r="M355" t="s">
        <v>30</v>
      </c>
    </row>
    <row r="356" spans="1:13" x14ac:dyDescent="0.3">
      <c r="A356" t="s">
        <v>752</v>
      </c>
      <c r="B356" s="4">
        <v>45329</v>
      </c>
      <c r="C356" s="6">
        <v>0.93055555555555558</v>
      </c>
      <c r="D356" t="s">
        <v>753</v>
      </c>
      <c r="E356" t="s">
        <v>21</v>
      </c>
      <c r="F356">
        <v>78</v>
      </c>
      <c r="G356" t="s">
        <v>22</v>
      </c>
      <c r="H356" t="s">
        <v>411</v>
      </c>
      <c r="I356" t="s">
        <v>98</v>
      </c>
      <c r="J356">
        <v>6</v>
      </c>
      <c r="K356">
        <v>59</v>
      </c>
      <c r="L356" t="s">
        <v>29</v>
      </c>
      <c r="M356" t="s">
        <v>30</v>
      </c>
    </row>
    <row r="357" spans="1:13" x14ac:dyDescent="0.3">
      <c r="A357" t="s">
        <v>754</v>
      </c>
      <c r="B357" s="4">
        <v>45332</v>
      </c>
      <c r="C357" s="6">
        <v>0.97777777777777775</v>
      </c>
      <c r="D357" t="s">
        <v>755</v>
      </c>
      <c r="E357" t="s">
        <v>21</v>
      </c>
      <c r="F357">
        <v>34</v>
      </c>
      <c r="G357" t="s">
        <v>22</v>
      </c>
      <c r="H357" t="s">
        <v>411</v>
      </c>
      <c r="I357" t="s">
        <v>98</v>
      </c>
      <c r="J357">
        <v>7</v>
      </c>
      <c r="K357">
        <v>55</v>
      </c>
      <c r="L357" t="s">
        <v>36</v>
      </c>
      <c r="M357" t="s">
        <v>30</v>
      </c>
    </row>
    <row r="358" spans="1:13" x14ac:dyDescent="0.3">
      <c r="A358" t="s">
        <v>756</v>
      </c>
      <c r="B358" s="4">
        <v>45334</v>
      </c>
      <c r="C358" s="6">
        <v>0.16319444444444445</v>
      </c>
      <c r="D358" t="s">
        <v>757</v>
      </c>
      <c r="E358" t="s">
        <v>21</v>
      </c>
      <c r="F358">
        <v>70</v>
      </c>
      <c r="G358" t="s">
        <v>22</v>
      </c>
      <c r="H358" t="s">
        <v>411</v>
      </c>
      <c r="I358" t="s">
        <v>24</v>
      </c>
      <c r="J358">
        <v>6</v>
      </c>
      <c r="K358">
        <v>51</v>
      </c>
      <c r="L358" t="s">
        <v>53</v>
      </c>
      <c r="M358" t="s">
        <v>30</v>
      </c>
    </row>
    <row r="359" spans="1:13" x14ac:dyDescent="0.3">
      <c r="A359" t="s">
        <v>758</v>
      </c>
      <c r="B359" s="4">
        <v>45330</v>
      </c>
      <c r="C359" s="6">
        <v>0.92708333333333337</v>
      </c>
      <c r="D359" t="s">
        <v>759</v>
      </c>
      <c r="E359" t="s">
        <v>21</v>
      </c>
      <c r="F359">
        <v>26</v>
      </c>
      <c r="G359" t="s">
        <v>22</v>
      </c>
      <c r="H359" t="s">
        <v>411</v>
      </c>
      <c r="I359" t="s">
        <v>24</v>
      </c>
      <c r="J359">
        <v>7</v>
      </c>
      <c r="K359">
        <v>56</v>
      </c>
      <c r="L359" t="s">
        <v>25</v>
      </c>
      <c r="M359" t="s">
        <v>30</v>
      </c>
    </row>
    <row r="360" spans="1:13" x14ac:dyDescent="0.3">
      <c r="A360" t="s">
        <v>760</v>
      </c>
      <c r="B360" s="4">
        <v>45349</v>
      </c>
      <c r="C360" s="6">
        <v>0.21736111111111112</v>
      </c>
      <c r="D360" t="s">
        <v>761</v>
      </c>
      <c r="E360" t="s">
        <v>69</v>
      </c>
      <c r="F360">
        <v>78</v>
      </c>
      <c r="G360" t="s">
        <v>22</v>
      </c>
      <c r="H360" t="s">
        <v>411</v>
      </c>
      <c r="I360" t="s">
        <v>24</v>
      </c>
      <c r="J360">
        <v>9</v>
      </c>
      <c r="K360">
        <v>42</v>
      </c>
      <c r="L360" t="s">
        <v>29</v>
      </c>
      <c r="M360" t="s">
        <v>30</v>
      </c>
    </row>
    <row r="361" spans="1:13" x14ac:dyDescent="0.3">
      <c r="A361" t="s">
        <v>762</v>
      </c>
      <c r="B361" s="4">
        <v>45339</v>
      </c>
      <c r="C361" s="6">
        <v>0.95625000000000004</v>
      </c>
      <c r="D361" t="s">
        <v>763</v>
      </c>
      <c r="E361" t="s">
        <v>69</v>
      </c>
      <c r="F361">
        <v>5</v>
      </c>
      <c r="G361" t="s">
        <v>22</v>
      </c>
      <c r="H361" t="s">
        <v>411</v>
      </c>
      <c r="I361" t="s">
        <v>98</v>
      </c>
      <c r="J361">
        <v>2</v>
      </c>
      <c r="K361">
        <v>36</v>
      </c>
      <c r="L361" t="s">
        <v>48</v>
      </c>
      <c r="M361" t="s">
        <v>30</v>
      </c>
    </row>
    <row r="362" spans="1:13" x14ac:dyDescent="0.3">
      <c r="A362" t="s">
        <v>764</v>
      </c>
      <c r="B362" s="4">
        <v>45323</v>
      </c>
      <c r="C362" s="6">
        <v>0.31388888888888888</v>
      </c>
      <c r="D362" t="s">
        <v>765</v>
      </c>
      <c r="E362" t="s">
        <v>69</v>
      </c>
      <c r="F362">
        <v>39</v>
      </c>
      <c r="G362" t="s">
        <v>22</v>
      </c>
      <c r="H362" t="s">
        <v>411</v>
      </c>
      <c r="I362" t="s">
        <v>98</v>
      </c>
      <c r="J362">
        <v>8</v>
      </c>
      <c r="K362">
        <v>37</v>
      </c>
      <c r="L362" t="s">
        <v>36</v>
      </c>
      <c r="M362" t="s">
        <v>30</v>
      </c>
    </row>
    <row r="363" spans="1:13" x14ac:dyDescent="0.3">
      <c r="A363" t="s">
        <v>766</v>
      </c>
      <c r="B363" s="4">
        <v>45349</v>
      </c>
      <c r="C363" s="6">
        <v>0.49583333333333335</v>
      </c>
      <c r="D363" t="s">
        <v>767</v>
      </c>
      <c r="E363" t="s">
        <v>69</v>
      </c>
      <c r="F363">
        <v>22</v>
      </c>
      <c r="G363" t="s">
        <v>22</v>
      </c>
      <c r="H363" t="s">
        <v>411</v>
      </c>
      <c r="I363" t="s">
        <v>98</v>
      </c>
      <c r="J363">
        <v>8</v>
      </c>
      <c r="K363">
        <v>52</v>
      </c>
      <c r="L363" t="s">
        <v>25</v>
      </c>
      <c r="M363" t="s">
        <v>30</v>
      </c>
    </row>
    <row r="364" spans="1:13" x14ac:dyDescent="0.3">
      <c r="A364" t="s">
        <v>768</v>
      </c>
      <c r="B364" s="4">
        <v>45336</v>
      </c>
      <c r="C364" s="6">
        <v>0.35416666666666669</v>
      </c>
      <c r="D364" t="s">
        <v>769</v>
      </c>
      <c r="E364" t="s">
        <v>69</v>
      </c>
      <c r="F364">
        <v>18</v>
      </c>
      <c r="G364" t="s">
        <v>22</v>
      </c>
      <c r="H364" t="s">
        <v>411</v>
      </c>
      <c r="I364" t="s">
        <v>24</v>
      </c>
      <c r="J364">
        <v>0</v>
      </c>
      <c r="K364">
        <v>10</v>
      </c>
      <c r="L364" t="s">
        <v>39</v>
      </c>
      <c r="M364" t="s">
        <v>26</v>
      </c>
    </row>
    <row r="365" spans="1:13" x14ac:dyDescent="0.3">
      <c r="A365" t="s">
        <v>770</v>
      </c>
      <c r="B365" s="4">
        <v>45324</v>
      </c>
      <c r="C365" s="6">
        <v>0.49722222222222223</v>
      </c>
      <c r="D365" t="s">
        <v>771</v>
      </c>
      <c r="E365" t="s">
        <v>69</v>
      </c>
      <c r="F365">
        <v>22</v>
      </c>
      <c r="G365" t="s">
        <v>22</v>
      </c>
      <c r="H365" t="s">
        <v>411</v>
      </c>
      <c r="I365" t="s">
        <v>24</v>
      </c>
      <c r="J365">
        <v>4</v>
      </c>
      <c r="K365">
        <v>45</v>
      </c>
      <c r="L365" t="s">
        <v>25</v>
      </c>
      <c r="M365" t="s">
        <v>30</v>
      </c>
    </row>
    <row r="366" spans="1:13" x14ac:dyDescent="0.3">
      <c r="A366" t="s">
        <v>772</v>
      </c>
      <c r="B366" s="4">
        <v>45341</v>
      </c>
      <c r="C366" s="6">
        <v>0.78333333333333333</v>
      </c>
      <c r="D366" t="s">
        <v>773</v>
      </c>
      <c r="E366" t="s">
        <v>69</v>
      </c>
      <c r="F366">
        <v>16</v>
      </c>
      <c r="G366" t="s">
        <v>22</v>
      </c>
      <c r="H366" t="s">
        <v>411</v>
      </c>
      <c r="I366" t="s">
        <v>24</v>
      </c>
      <c r="J366">
        <v>7</v>
      </c>
      <c r="K366">
        <v>54</v>
      </c>
      <c r="L366" t="s">
        <v>39</v>
      </c>
      <c r="M366" t="s">
        <v>30</v>
      </c>
    </row>
    <row r="367" spans="1:13" x14ac:dyDescent="0.3">
      <c r="A367" t="s">
        <v>774</v>
      </c>
      <c r="B367" s="4">
        <v>45345</v>
      </c>
      <c r="C367" s="6">
        <v>0.81597222222222221</v>
      </c>
      <c r="D367" t="s">
        <v>775</v>
      </c>
      <c r="E367" t="s">
        <v>69</v>
      </c>
      <c r="F367">
        <v>27</v>
      </c>
      <c r="G367" t="s">
        <v>338</v>
      </c>
      <c r="H367" t="s">
        <v>23</v>
      </c>
      <c r="I367" t="s">
        <v>98</v>
      </c>
      <c r="J367">
        <v>2</v>
      </c>
      <c r="K367">
        <v>60</v>
      </c>
      <c r="L367" t="s">
        <v>25</v>
      </c>
      <c r="M367" t="s">
        <v>30</v>
      </c>
    </row>
    <row r="368" spans="1:13" x14ac:dyDescent="0.3">
      <c r="A368" t="s">
        <v>776</v>
      </c>
      <c r="B368" s="4">
        <v>45345</v>
      </c>
      <c r="C368" s="6">
        <v>0.7006944444444444</v>
      </c>
      <c r="D368" t="s">
        <v>777</v>
      </c>
      <c r="E368" t="s">
        <v>69</v>
      </c>
      <c r="F368">
        <v>50</v>
      </c>
      <c r="G368" t="s">
        <v>338</v>
      </c>
      <c r="H368" t="s">
        <v>23</v>
      </c>
      <c r="I368" t="s">
        <v>98</v>
      </c>
      <c r="J368">
        <v>6</v>
      </c>
      <c r="K368">
        <v>55</v>
      </c>
      <c r="L368" t="s">
        <v>56</v>
      </c>
      <c r="M368" t="s">
        <v>30</v>
      </c>
    </row>
    <row r="369" spans="1:13" x14ac:dyDescent="0.3">
      <c r="A369" t="s">
        <v>778</v>
      </c>
      <c r="B369" s="4">
        <v>45339</v>
      </c>
      <c r="C369" s="6">
        <v>0.72152777777777777</v>
      </c>
      <c r="D369" t="s">
        <v>779</v>
      </c>
      <c r="E369" t="s">
        <v>69</v>
      </c>
      <c r="F369">
        <v>6</v>
      </c>
      <c r="G369" t="s">
        <v>338</v>
      </c>
      <c r="H369" t="s">
        <v>23</v>
      </c>
      <c r="I369" t="s">
        <v>98</v>
      </c>
      <c r="J369">
        <v>9</v>
      </c>
      <c r="K369">
        <v>42</v>
      </c>
      <c r="L369" t="s">
        <v>48</v>
      </c>
      <c r="M369" t="s">
        <v>30</v>
      </c>
    </row>
    <row r="370" spans="1:13" x14ac:dyDescent="0.3">
      <c r="A370" t="s">
        <v>780</v>
      </c>
      <c r="B370" s="4">
        <v>45336</v>
      </c>
      <c r="C370" s="6">
        <v>0.81944444444444442</v>
      </c>
      <c r="D370" t="s">
        <v>781</v>
      </c>
      <c r="E370" t="s">
        <v>21</v>
      </c>
      <c r="F370">
        <v>51</v>
      </c>
      <c r="G370" t="s">
        <v>338</v>
      </c>
      <c r="H370" t="s">
        <v>23</v>
      </c>
      <c r="I370" t="s">
        <v>98</v>
      </c>
      <c r="J370">
        <v>0</v>
      </c>
      <c r="K370">
        <v>31</v>
      </c>
      <c r="L370" t="s">
        <v>33</v>
      </c>
      <c r="M370" t="s">
        <v>30</v>
      </c>
    </row>
    <row r="371" spans="1:13" x14ac:dyDescent="0.3">
      <c r="A371" t="s">
        <v>782</v>
      </c>
      <c r="B371" s="4">
        <v>45330</v>
      </c>
      <c r="C371" s="6">
        <v>0.59513888888888888</v>
      </c>
      <c r="D371" t="s">
        <v>783</v>
      </c>
      <c r="E371" t="s">
        <v>21</v>
      </c>
      <c r="F371">
        <v>35</v>
      </c>
      <c r="G371" t="s">
        <v>338</v>
      </c>
      <c r="H371" t="s">
        <v>23</v>
      </c>
      <c r="I371" t="s">
        <v>98</v>
      </c>
      <c r="J371">
        <v>7</v>
      </c>
      <c r="K371">
        <v>32</v>
      </c>
      <c r="L371" t="s">
        <v>36</v>
      </c>
      <c r="M371" t="s">
        <v>30</v>
      </c>
    </row>
    <row r="372" spans="1:13" x14ac:dyDescent="0.3">
      <c r="A372" t="s">
        <v>784</v>
      </c>
      <c r="B372" s="4">
        <v>45345</v>
      </c>
      <c r="C372" s="6">
        <v>0.4548611111111111</v>
      </c>
      <c r="D372" t="s">
        <v>785</v>
      </c>
      <c r="E372" t="s">
        <v>21</v>
      </c>
      <c r="F372">
        <v>58</v>
      </c>
      <c r="G372" t="s">
        <v>338</v>
      </c>
      <c r="H372" t="s">
        <v>23</v>
      </c>
      <c r="I372" t="s">
        <v>98</v>
      </c>
      <c r="J372">
        <v>10</v>
      </c>
      <c r="K372">
        <v>27</v>
      </c>
      <c r="L372" t="s">
        <v>33</v>
      </c>
      <c r="M372" t="s">
        <v>26</v>
      </c>
    </row>
    <row r="373" spans="1:13" x14ac:dyDescent="0.3">
      <c r="A373" t="s">
        <v>786</v>
      </c>
      <c r="B373" s="4">
        <v>45336</v>
      </c>
      <c r="C373" s="6">
        <v>0.5395833333333333</v>
      </c>
      <c r="D373" t="s">
        <v>787</v>
      </c>
      <c r="E373" t="s">
        <v>69</v>
      </c>
      <c r="F373">
        <v>29</v>
      </c>
      <c r="G373" t="s">
        <v>338</v>
      </c>
      <c r="H373" t="s">
        <v>23</v>
      </c>
      <c r="I373" t="s">
        <v>24</v>
      </c>
      <c r="J373">
        <v>4</v>
      </c>
      <c r="K373">
        <v>43</v>
      </c>
      <c r="L373" t="s">
        <v>25</v>
      </c>
      <c r="M373" t="s">
        <v>30</v>
      </c>
    </row>
    <row r="374" spans="1:13" x14ac:dyDescent="0.3">
      <c r="A374" t="s">
        <v>788</v>
      </c>
      <c r="B374" s="4">
        <v>45340</v>
      </c>
      <c r="C374" s="6">
        <v>0.23472222222222222</v>
      </c>
      <c r="D374" t="s">
        <v>789</v>
      </c>
      <c r="E374" t="s">
        <v>69</v>
      </c>
      <c r="F374">
        <v>64</v>
      </c>
      <c r="G374" t="s">
        <v>338</v>
      </c>
      <c r="H374" t="s">
        <v>23</v>
      </c>
      <c r="I374" t="s">
        <v>24</v>
      </c>
      <c r="J374">
        <v>9</v>
      </c>
      <c r="K374">
        <v>42</v>
      </c>
      <c r="L374" t="s">
        <v>53</v>
      </c>
      <c r="M374" t="s">
        <v>30</v>
      </c>
    </row>
    <row r="375" spans="1:13" x14ac:dyDescent="0.3">
      <c r="A375" t="s">
        <v>790</v>
      </c>
      <c r="B375" s="4">
        <v>45347</v>
      </c>
      <c r="C375" s="6">
        <v>0.62847222222222221</v>
      </c>
      <c r="D375" t="s">
        <v>791</v>
      </c>
      <c r="E375" t="s">
        <v>69</v>
      </c>
      <c r="F375">
        <v>40</v>
      </c>
      <c r="G375" t="s">
        <v>338</v>
      </c>
      <c r="H375" t="s">
        <v>23</v>
      </c>
      <c r="I375" t="s">
        <v>24</v>
      </c>
      <c r="J375">
        <v>10</v>
      </c>
      <c r="K375">
        <v>36</v>
      </c>
      <c r="L375" t="s">
        <v>36</v>
      </c>
      <c r="M375" t="s">
        <v>30</v>
      </c>
    </row>
    <row r="376" spans="1:13" x14ac:dyDescent="0.3">
      <c r="A376" t="s">
        <v>792</v>
      </c>
      <c r="B376" s="4">
        <v>45350</v>
      </c>
      <c r="C376" s="6">
        <v>0.17708333333333334</v>
      </c>
      <c r="D376" t="s">
        <v>793</v>
      </c>
      <c r="E376" t="s">
        <v>21</v>
      </c>
      <c r="F376">
        <v>68</v>
      </c>
      <c r="G376" t="s">
        <v>338</v>
      </c>
      <c r="H376" t="s">
        <v>23</v>
      </c>
      <c r="I376" t="s">
        <v>24</v>
      </c>
      <c r="J376">
        <v>4</v>
      </c>
      <c r="K376">
        <v>45</v>
      </c>
      <c r="L376" t="s">
        <v>53</v>
      </c>
      <c r="M376" t="s">
        <v>30</v>
      </c>
    </row>
    <row r="377" spans="1:13" x14ac:dyDescent="0.3">
      <c r="A377" t="s">
        <v>794</v>
      </c>
      <c r="B377" s="4">
        <v>45345</v>
      </c>
      <c r="C377" s="6">
        <v>0.78680555555555554</v>
      </c>
      <c r="D377" t="s">
        <v>795</v>
      </c>
      <c r="E377" t="s">
        <v>69</v>
      </c>
      <c r="F377">
        <v>46</v>
      </c>
      <c r="G377" t="s">
        <v>307</v>
      </c>
      <c r="H377" t="s">
        <v>23</v>
      </c>
      <c r="I377" t="s">
        <v>98</v>
      </c>
      <c r="J377">
        <v>1</v>
      </c>
      <c r="K377">
        <v>51</v>
      </c>
      <c r="L377" t="s">
        <v>56</v>
      </c>
      <c r="M377" t="s">
        <v>30</v>
      </c>
    </row>
    <row r="378" spans="1:13" x14ac:dyDescent="0.3">
      <c r="A378" t="s">
        <v>796</v>
      </c>
      <c r="B378" s="4">
        <v>45329</v>
      </c>
      <c r="C378" s="6">
        <v>0.66805555555555551</v>
      </c>
      <c r="D378" t="s">
        <v>797</v>
      </c>
      <c r="E378" t="s">
        <v>69</v>
      </c>
      <c r="F378">
        <v>38</v>
      </c>
      <c r="G378" t="s">
        <v>307</v>
      </c>
      <c r="H378" t="s">
        <v>23</v>
      </c>
      <c r="I378" t="s">
        <v>98</v>
      </c>
      <c r="J378">
        <v>9</v>
      </c>
      <c r="K378">
        <v>23</v>
      </c>
      <c r="L378" t="s">
        <v>36</v>
      </c>
      <c r="M378" t="s">
        <v>26</v>
      </c>
    </row>
    <row r="379" spans="1:13" x14ac:dyDescent="0.3">
      <c r="A379" t="s">
        <v>798</v>
      </c>
      <c r="B379" s="4">
        <v>45333</v>
      </c>
      <c r="C379" s="6">
        <v>0.99444444444444446</v>
      </c>
      <c r="D379" t="s">
        <v>799</v>
      </c>
      <c r="E379" t="s">
        <v>21</v>
      </c>
      <c r="F379">
        <v>79</v>
      </c>
      <c r="G379" t="s">
        <v>307</v>
      </c>
      <c r="H379" t="s">
        <v>23</v>
      </c>
      <c r="I379" t="s">
        <v>98</v>
      </c>
      <c r="J379">
        <v>2</v>
      </c>
      <c r="K379">
        <v>33</v>
      </c>
      <c r="L379" t="s">
        <v>29</v>
      </c>
      <c r="M379" t="s">
        <v>30</v>
      </c>
    </row>
    <row r="380" spans="1:13" x14ac:dyDescent="0.3">
      <c r="A380" t="s">
        <v>800</v>
      </c>
      <c r="B380" s="4">
        <v>45334</v>
      </c>
      <c r="C380" s="6">
        <v>0.11319444444444444</v>
      </c>
      <c r="D380" t="s">
        <v>801</v>
      </c>
      <c r="E380" t="s">
        <v>21</v>
      </c>
      <c r="F380">
        <v>76</v>
      </c>
      <c r="G380" t="s">
        <v>307</v>
      </c>
      <c r="H380" t="s">
        <v>23</v>
      </c>
      <c r="I380" t="s">
        <v>98</v>
      </c>
      <c r="J380">
        <v>5</v>
      </c>
      <c r="K380">
        <v>28</v>
      </c>
      <c r="L380" t="s">
        <v>29</v>
      </c>
      <c r="M380" t="s">
        <v>26</v>
      </c>
    </row>
    <row r="381" spans="1:13" x14ac:dyDescent="0.3">
      <c r="A381" t="s">
        <v>802</v>
      </c>
      <c r="B381" s="4">
        <v>45325</v>
      </c>
      <c r="C381" s="6">
        <v>0.45208333333333334</v>
      </c>
      <c r="D381" t="s">
        <v>803</v>
      </c>
      <c r="E381" t="s">
        <v>69</v>
      </c>
      <c r="F381">
        <v>23</v>
      </c>
      <c r="G381" t="s">
        <v>307</v>
      </c>
      <c r="H381" t="s">
        <v>23</v>
      </c>
      <c r="I381" t="s">
        <v>24</v>
      </c>
      <c r="J381">
        <v>8</v>
      </c>
      <c r="K381">
        <v>42</v>
      </c>
      <c r="L381" t="s">
        <v>25</v>
      </c>
      <c r="M381" t="s">
        <v>30</v>
      </c>
    </row>
    <row r="382" spans="1:13" x14ac:dyDescent="0.3">
      <c r="A382" t="s">
        <v>804</v>
      </c>
      <c r="B382" s="4">
        <v>45343</v>
      </c>
      <c r="C382" s="6">
        <v>0.96527777777777779</v>
      </c>
      <c r="D382" t="s">
        <v>805</v>
      </c>
      <c r="E382" t="s">
        <v>21</v>
      </c>
      <c r="F382">
        <v>54</v>
      </c>
      <c r="G382" t="s">
        <v>307</v>
      </c>
      <c r="H382" t="s">
        <v>23</v>
      </c>
      <c r="I382" t="s">
        <v>24</v>
      </c>
      <c r="J382">
        <v>6</v>
      </c>
      <c r="K382">
        <v>48</v>
      </c>
      <c r="L382" t="s">
        <v>33</v>
      </c>
      <c r="M382" t="s">
        <v>30</v>
      </c>
    </row>
    <row r="383" spans="1:13" x14ac:dyDescent="0.3">
      <c r="A383" t="s">
        <v>806</v>
      </c>
      <c r="B383" s="4">
        <v>45340</v>
      </c>
      <c r="C383" s="6">
        <v>0.6069444444444444</v>
      </c>
      <c r="D383" t="s">
        <v>807</v>
      </c>
      <c r="E383" t="s">
        <v>69</v>
      </c>
      <c r="F383">
        <v>70</v>
      </c>
      <c r="G383" t="s">
        <v>369</v>
      </c>
      <c r="H383" t="s">
        <v>23</v>
      </c>
      <c r="I383" t="s">
        <v>98</v>
      </c>
      <c r="J383">
        <v>4</v>
      </c>
      <c r="K383">
        <v>35</v>
      </c>
      <c r="L383" t="s">
        <v>53</v>
      </c>
      <c r="M383" t="s">
        <v>30</v>
      </c>
    </row>
    <row r="384" spans="1:13" x14ac:dyDescent="0.3">
      <c r="A384" t="s">
        <v>808</v>
      </c>
      <c r="B384" s="4">
        <v>45351</v>
      </c>
      <c r="C384" s="6">
        <v>0.86597222222222225</v>
      </c>
      <c r="D384" t="s">
        <v>809</v>
      </c>
      <c r="E384" t="s">
        <v>21</v>
      </c>
      <c r="F384">
        <v>67</v>
      </c>
      <c r="G384" t="s">
        <v>369</v>
      </c>
      <c r="H384" t="s">
        <v>23</v>
      </c>
      <c r="I384" t="s">
        <v>98</v>
      </c>
      <c r="J384">
        <v>1</v>
      </c>
      <c r="K384">
        <v>14</v>
      </c>
      <c r="L384" t="s">
        <v>53</v>
      </c>
      <c r="M384" t="s">
        <v>26</v>
      </c>
    </row>
    <row r="385" spans="1:13" x14ac:dyDescent="0.3">
      <c r="A385" t="s">
        <v>810</v>
      </c>
      <c r="B385" s="4">
        <v>45339</v>
      </c>
      <c r="C385" s="6">
        <v>0.14861111111111111</v>
      </c>
      <c r="D385" t="s">
        <v>811</v>
      </c>
      <c r="E385" t="s">
        <v>21</v>
      </c>
      <c r="F385">
        <v>5</v>
      </c>
      <c r="G385" t="s">
        <v>369</v>
      </c>
      <c r="H385" t="s">
        <v>23</v>
      </c>
      <c r="I385" t="s">
        <v>98</v>
      </c>
      <c r="J385">
        <v>3</v>
      </c>
      <c r="K385">
        <v>28</v>
      </c>
      <c r="L385" t="s">
        <v>48</v>
      </c>
      <c r="M385" t="s">
        <v>26</v>
      </c>
    </row>
    <row r="386" spans="1:13" x14ac:dyDescent="0.3">
      <c r="A386" t="s">
        <v>812</v>
      </c>
      <c r="B386" s="4">
        <v>45335</v>
      </c>
      <c r="C386" s="6">
        <v>0.73333333333333328</v>
      </c>
      <c r="D386" t="s">
        <v>813</v>
      </c>
      <c r="E386" t="s">
        <v>21</v>
      </c>
      <c r="F386">
        <v>73</v>
      </c>
      <c r="G386" t="s">
        <v>369</v>
      </c>
      <c r="H386" t="s">
        <v>23</v>
      </c>
      <c r="I386" t="s">
        <v>98</v>
      </c>
      <c r="J386">
        <v>5</v>
      </c>
      <c r="K386">
        <v>55</v>
      </c>
      <c r="L386" t="s">
        <v>29</v>
      </c>
      <c r="M386" t="s">
        <v>30</v>
      </c>
    </row>
    <row r="387" spans="1:13" x14ac:dyDescent="0.3">
      <c r="A387" t="s">
        <v>814</v>
      </c>
      <c r="B387" s="4">
        <v>45326</v>
      </c>
      <c r="C387" s="6">
        <v>0.40277777777777779</v>
      </c>
      <c r="D387" t="s">
        <v>815</v>
      </c>
      <c r="E387" t="s">
        <v>21</v>
      </c>
      <c r="F387">
        <v>63</v>
      </c>
      <c r="G387" t="s">
        <v>369</v>
      </c>
      <c r="H387" t="s">
        <v>23</v>
      </c>
      <c r="I387" t="s">
        <v>98</v>
      </c>
      <c r="J387">
        <v>6</v>
      </c>
      <c r="K387">
        <v>44</v>
      </c>
      <c r="L387" t="s">
        <v>53</v>
      </c>
      <c r="M387" t="s">
        <v>30</v>
      </c>
    </row>
    <row r="388" spans="1:13" x14ac:dyDescent="0.3">
      <c r="A388" t="s">
        <v>816</v>
      </c>
      <c r="B388" s="4">
        <v>45349</v>
      </c>
      <c r="C388" s="6">
        <v>0.96527777777777779</v>
      </c>
      <c r="D388" t="s">
        <v>817</v>
      </c>
      <c r="E388" t="s">
        <v>21</v>
      </c>
      <c r="F388">
        <v>35</v>
      </c>
      <c r="G388" t="s">
        <v>369</v>
      </c>
      <c r="H388" t="s">
        <v>23</v>
      </c>
      <c r="I388" t="s">
        <v>24</v>
      </c>
      <c r="J388">
        <v>2</v>
      </c>
      <c r="K388">
        <v>52</v>
      </c>
      <c r="L388" t="s">
        <v>36</v>
      </c>
      <c r="M388" t="s">
        <v>30</v>
      </c>
    </row>
    <row r="389" spans="1:13" x14ac:dyDescent="0.3">
      <c r="A389" t="s">
        <v>818</v>
      </c>
      <c r="B389" s="4">
        <v>45332</v>
      </c>
      <c r="C389" s="6">
        <v>0.92569444444444449</v>
      </c>
      <c r="D389" t="s">
        <v>819</v>
      </c>
      <c r="E389" t="s">
        <v>69</v>
      </c>
      <c r="F389">
        <v>5</v>
      </c>
      <c r="G389" t="s">
        <v>386</v>
      </c>
      <c r="H389" t="s">
        <v>23</v>
      </c>
      <c r="I389" t="s">
        <v>24</v>
      </c>
      <c r="J389">
        <v>2</v>
      </c>
      <c r="K389">
        <v>54</v>
      </c>
      <c r="L389" t="s">
        <v>48</v>
      </c>
      <c r="M389" t="s">
        <v>30</v>
      </c>
    </row>
    <row r="390" spans="1:13" x14ac:dyDescent="0.3">
      <c r="A390" t="s">
        <v>820</v>
      </c>
      <c r="B390" s="4">
        <v>45345</v>
      </c>
      <c r="C390" s="6">
        <v>0.27916666666666667</v>
      </c>
      <c r="D390" t="s">
        <v>821</v>
      </c>
      <c r="E390" t="s">
        <v>21</v>
      </c>
      <c r="F390">
        <v>59</v>
      </c>
      <c r="G390" t="s">
        <v>386</v>
      </c>
      <c r="H390" t="s">
        <v>23</v>
      </c>
      <c r="I390" t="s">
        <v>98</v>
      </c>
      <c r="J390">
        <v>2</v>
      </c>
      <c r="K390">
        <v>43</v>
      </c>
      <c r="L390" t="s">
        <v>33</v>
      </c>
      <c r="M390" t="s">
        <v>30</v>
      </c>
    </row>
    <row r="391" spans="1:13" x14ac:dyDescent="0.3">
      <c r="A391" t="s">
        <v>822</v>
      </c>
      <c r="B391" s="4">
        <v>45343</v>
      </c>
      <c r="C391" s="6">
        <v>0.65416666666666667</v>
      </c>
      <c r="D391" t="s">
        <v>823</v>
      </c>
      <c r="E391" t="s">
        <v>69</v>
      </c>
      <c r="F391">
        <v>47</v>
      </c>
      <c r="G391" t="s">
        <v>386</v>
      </c>
      <c r="H391" t="s">
        <v>23</v>
      </c>
      <c r="I391" t="s">
        <v>24</v>
      </c>
      <c r="J391">
        <v>3</v>
      </c>
      <c r="K391">
        <v>29</v>
      </c>
      <c r="L391" t="s">
        <v>56</v>
      </c>
      <c r="M391" t="s">
        <v>26</v>
      </c>
    </row>
    <row r="392" spans="1:13" x14ac:dyDescent="0.3">
      <c r="A392" t="s">
        <v>824</v>
      </c>
      <c r="B392" s="4">
        <v>45340</v>
      </c>
      <c r="C392" s="6">
        <v>0.9458333333333333</v>
      </c>
      <c r="D392" t="s">
        <v>825</v>
      </c>
      <c r="E392" t="s">
        <v>21</v>
      </c>
      <c r="F392">
        <v>34</v>
      </c>
      <c r="G392" t="s">
        <v>386</v>
      </c>
      <c r="H392" t="s">
        <v>23</v>
      </c>
      <c r="I392" t="s">
        <v>24</v>
      </c>
      <c r="J392">
        <v>0</v>
      </c>
      <c r="K392">
        <v>19</v>
      </c>
      <c r="L392" t="s">
        <v>36</v>
      </c>
      <c r="M392" t="s">
        <v>26</v>
      </c>
    </row>
    <row r="393" spans="1:13" x14ac:dyDescent="0.3">
      <c r="A393" t="s">
        <v>826</v>
      </c>
      <c r="B393" s="4">
        <v>45344</v>
      </c>
      <c r="C393" s="6">
        <v>0.50486111111111109</v>
      </c>
      <c r="D393" t="s">
        <v>827</v>
      </c>
      <c r="E393" t="s">
        <v>21</v>
      </c>
      <c r="F393">
        <v>20</v>
      </c>
      <c r="G393" t="s">
        <v>386</v>
      </c>
      <c r="H393" t="s">
        <v>23</v>
      </c>
      <c r="I393" t="s">
        <v>24</v>
      </c>
      <c r="J393">
        <v>9</v>
      </c>
      <c r="K393">
        <v>18</v>
      </c>
      <c r="L393" t="s">
        <v>39</v>
      </c>
      <c r="M393" t="s">
        <v>26</v>
      </c>
    </row>
    <row r="394" spans="1:13" x14ac:dyDescent="0.3">
      <c r="A394" t="s">
        <v>828</v>
      </c>
      <c r="B394" s="4">
        <v>45340</v>
      </c>
      <c r="C394" s="6">
        <v>0.48680555555555555</v>
      </c>
      <c r="D394" t="s">
        <v>829</v>
      </c>
      <c r="E394" t="s">
        <v>21</v>
      </c>
      <c r="F394">
        <v>1</v>
      </c>
      <c r="G394" t="s">
        <v>214</v>
      </c>
      <c r="H394" t="s">
        <v>23</v>
      </c>
      <c r="I394" t="s">
        <v>98</v>
      </c>
      <c r="J394">
        <v>9</v>
      </c>
      <c r="K394">
        <v>28</v>
      </c>
      <c r="L394" t="s">
        <v>48</v>
      </c>
      <c r="M394" t="s">
        <v>26</v>
      </c>
    </row>
    <row r="395" spans="1:13" x14ac:dyDescent="0.3">
      <c r="A395" t="s">
        <v>830</v>
      </c>
      <c r="B395" s="4">
        <v>45343</v>
      </c>
      <c r="C395" s="6">
        <v>0.62083333333333335</v>
      </c>
      <c r="D395" t="s">
        <v>831</v>
      </c>
      <c r="E395" t="s">
        <v>69</v>
      </c>
      <c r="F395">
        <v>34</v>
      </c>
      <c r="G395" t="s">
        <v>214</v>
      </c>
      <c r="H395" t="s">
        <v>23</v>
      </c>
      <c r="I395" t="s">
        <v>98</v>
      </c>
      <c r="J395">
        <v>2</v>
      </c>
      <c r="K395">
        <v>32</v>
      </c>
      <c r="L395" t="s">
        <v>36</v>
      </c>
      <c r="M395" t="s">
        <v>30</v>
      </c>
    </row>
    <row r="396" spans="1:13" x14ac:dyDescent="0.3">
      <c r="A396" t="s">
        <v>832</v>
      </c>
      <c r="B396" s="4">
        <v>45345</v>
      </c>
      <c r="C396" s="6">
        <v>0.44930555555555557</v>
      </c>
      <c r="D396" t="s">
        <v>833</v>
      </c>
      <c r="E396" t="s">
        <v>69</v>
      </c>
      <c r="F396">
        <v>41</v>
      </c>
      <c r="G396" t="s">
        <v>214</v>
      </c>
      <c r="H396" t="s">
        <v>23</v>
      </c>
      <c r="I396" t="s">
        <v>98</v>
      </c>
      <c r="J396">
        <v>5</v>
      </c>
      <c r="K396">
        <v>14</v>
      </c>
      <c r="L396" t="s">
        <v>56</v>
      </c>
      <c r="M396" t="s">
        <v>26</v>
      </c>
    </row>
    <row r="397" spans="1:13" x14ac:dyDescent="0.3">
      <c r="A397" t="s">
        <v>834</v>
      </c>
      <c r="B397" s="4">
        <v>45346</v>
      </c>
      <c r="C397" s="6">
        <v>0.43888888888888888</v>
      </c>
      <c r="D397" t="s">
        <v>835</v>
      </c>
      <c r="E397" t="s">
        <v>21</v>
      </c>
      <c r="F397">
        <v>71</v>
      </c>
      <c r="G397" t="s">
        <v>214</v>
      </c>
      <c r="H397" t="s">
        <v>23</v>
      </c>
      <c r="I397" t="s">
        <v>98</v>
      </c>
      <c r="J397">
        <v>0</v>
      </c>
      <c r="K397">
        <v>53</v>
      </c>
      <c r="L397" t="s">
        <v>29</v>
      </c>
      <c r="M397" t="s">
        <v>30</v>
      </c>
    </row>
    <row r="398" spans="1:13" x14ac:dyDescent="0.3">
      <c r="A398" t="s">
        <v>836</v>
      </c>
      <c r="B398" s="4">
        <v>45325</v>
      </c>
      <c r="C398" s="6">
        <v>0.14027777777777778</v>
      </c>
      <c r="D398" t="s">
        <v>837</v>
      </c>
      <c r="E398" t="s">
        <v>21</v>
      </c>
      <c r="F398">
        <v>18</v>
      </c>
      <c r="G398" t="s">
        <v>214</v>
      </c>
      <c r="H398" t="s">
        <v>23</v>
      </c>
      <c r="I398" t="s">
        <v>98</v>
      </c>
      <c r="J398">
        <v>5</v>
      </c>
      <c r="K398">
        <v>23</v>
      </c>
      <c r="L398" t="s">
        <v>39</v>
      </c>
      <c r="M398" t="s">
        <v>26</v>
      </c>
    </row>
    <row r="399" spans="1:13" x14ac:dyDescent="0.3">
      <c r="A399" t="s">
        <v>838</v>
      </c>
      <c r="B399" s="4">
        <v>45323</v>
      </c>
      <c r="C399" s="6">
        <v>0.69513888888888886</v>
      </c>
      <c r="D399" t="s">
        <v>839</v>
      </c>
      <c r="E399" t="s">
        <v>21</v>
      </c>
      <c r="F399">
        <v>15</v>
      </c>
      <c r="G399" t="s">
        <v>214</v>
      </c>
      <c r="H399" t="s">
        <v>23</v>
      </c>
      <c r="I399" t="s">
        <v>98</v>
      </c>
      <c r="J399">
        <v>7</v>
      </c>
      <c r="K399">
        <v>37</v>
      </c>
      <c r="L399" t="s">
        <v>39</v>
      </c>
      <c r="M399" t="s">
        <v>30</v>
      </c>
    </row>
    <row r="400" spans="1:13" x14ac:dyDescent="0.3">
      <c r="A400" t="s">
        <v>840</v>
      </c>
      <c r="B400" s="4">
        <v>45336</v>
      </c>
      <c r="C400" s="6">
        <v>0.49652777777777779</v>
      </c>
      <c r="D400" t="s">
        <v>841</v>
      </c>
      <c r="E400" t="s">
        <v>69</v>
      </c>
      <c r="F400">
        <v>61</v>
      </c>
      <c r="G400" t="s">
        <v>214</v>
      </c>
      <c r="H400" t="s">
        <v>23</v>
      </c>
      <c r="I400" t="s">
        <v>24</v>
      </c>
      <c r="J400">
        <v>1</v>
      </c>
      <c r="K400">
        <v>53</v>
      </c>
      <c r="L400" t="s">
        <v>53</v>
      </c>
      <c r="M400" t="s">
        <v>30</v>
      </c>
    </row>
    <row r="401" spans="1:13" x14ac:dyDescent="0.3">
      <c r="A401" t="s">
        <v>842</v>
      </c>
      <c r="B401" s="4">
        <v>45336</v>
      </c>
      <c r="C401" s="6">
        <v>0.96944444444444444</v>
      </c>
      <c r="D401" t="s">
        <v>843</v>
      </c>
      <c r="E401" t="s">
        <v>69</v>
      </c>
      <c r="F401">
        <v>48</v>
      </c>
      <c r="G401" t="s">
        <v>214</v>
      </c>
      <c r="H401" t="s">
        <v>23</v>
      </c>
      <c r="I401" t="s">
        <v>24</v>
      </c>
      <c r="J401">
        <v>2</v>
      </c>
      <c r="K401">
        <v>21</v>
      </c>
      <c r="L401" t="s">
        <v>56</v>
      </c>
      <c r="M401" t="s">
        <v>26</v>
      </c>
    </row>
    <row r="402" spans="1:13" x14ac:dyDescent="0.3">
      <c r="A402" t="s">
        <v>844</v>
      </c>
      <c r="B402" s="4">
        <v>45336</v>
      </c>
      <c r="C402" s="6">
        <v>0.22777777777777777</v>
      </c>
      <c r="D402" t="s">
        <v>845</v>
      </c>
      <c r="E402" t="s">
        <v>21</v>
      </c>
      <c r="F402">
        <v>77</v>
      </c>
      <c r="G402" t="s">
        <v>214</v>
      </c>
      <c r="H402" t="s">
        <v>23</v>
      </c>
      <c r="I402" t="s">
        <v>24</v>
      </c>
      <c r="J402">
        <v>1</v>
      </c>
      <c r="K402">
        <v>12</v>
      </c>
      <c r="L402" t="s">
        <v>29</v>
      </c>
      <c r="M402" t="s">
        <v>26</v>
      </c>
    </row>
    <row r="403" spans="1:13" x14ac:dyDescent="0.3">
      <c r="A403" t="s">
        <v>846</v>
      </c>
      <c r="B403" s="4">
        <v>45345</v>
      </c>
      <c r="C403" s="6">
        <v>0.48888888888888887</v>
      </c>
      <c r="D403" t="s">
        <v>847</v>
      </c>
      <c r="E403" t="s">
        <v>69</v>
      </c>
      <c r="F403">
        <v>33</v>
      </c>
      <c r="G403" t="s">
        <v>135</v>
      </c>
      <c r="H403" t="s">
        <v>23</v>
      </c>
      <c r="I403" t="s">
        <v>24</v>
      </c>
      <c r="J403">
        <v>3</v>
      </c>
      <c r="K403">
        <v>56</v>
      </c>
      <c r="L403" t="s">
        <v>36</v>
      </c>
      <c r="M403" t="s">
        <v>30</v>
      </c>
    </row>
    <row r="404" spans="1:13" x14ac:dyDescent="0.3">
      <c r="A404" t="s">
        <v>848</v>
      </c>
      <c r="B404" s="4">
        <v>45327</v>
      </c>
      <c r="C404" s="6">
        <v>0.45347222222222222</v>
      </c>
      <c r="D404" t="s">
        <v>849</v>
      </c>
      <c r="E404" t="s">
        <v>69</v>
      </c>
      <c r="F404">
        <v>40</v>
      </c>
      <c r="G404" t="s">
        <v>135</v>
      </c>
      <c r="H404" t="s">
        <v>23</v>
      </c>
      <c r="I404" t="s">
        <v>98</v>
      </c>
      <c r="J404">
        <v>0</v>
      </c>
      <c r="K404">
        <v>50</v>
      </c>
      <c r="L404" t="s">
        <v>36</v>
      </c>
      <c r="M404" t="s">
        <v>30</v>
      </c>
    </row>
    <row r="405" spans="1:13" x14ac:dyDescent="0.3">
      <c r="A405" t="s">
        <v>850</v>
      </c>
      <c r="B405" s="4">
        <v>45325</v>
      </c>
      <c r="C405" s="6">
        <v>0.34375</v>
      </c>
      <c r="D405" t="s">
        <v>851</v>
      </c>
      <c r="E405" t="s">
        <v>69</v>
      </c>
      <c r="F405">
        <v>77</v>
      </c>
      <c r="G405" t="s">
        <v>135</v>
      </c>
      <c r="H405" t="s">
        <v>23</v>
      </c>
      <c r="I405" t="s">
        <v>98</v>
      </c>
      <c r="J405">
        <v>1</v>
      </c>
      <c r="K405">
        <v>25</v>
      </c>
      <c r="L405" t="s">
        <v>29</v>
      </c>
      <c r="M405" t="s">
        <v>26</v>
      </c>
    </row>
    <row r="406" spans="1:13" x14ac:dyDescent="0.3">
      <c r="A406" t="s">
        <v>852</v>
      </c>
      <c r="B406" s="4">
        <v>45351</v>
      </c>
      <c r="C406" s="6">
        <v>0.36527777777777776</v>
      </c>
      <c r="D406" t="s">
        <v>853</v>
      </c>
      <c r="E406" t="s">
        <v>69</v>
      </c>
      <c r="F406">
        <v>40</v>
      </c>
      <c r="G406" t="s">
        <v>135</v>
      </c>
      <c r="H406" t="s">
        <v>23</v>
      </c>
      <c r="I406" t="s">
        <v>98</v>
      </c>
      <c r="J406">
        <v>6</v>
      </c>
      <c r="K406">
        <v>32</v>
      </c>
      <c r="L406" t="s">
        <v>36</v>
      </c>
      <c r="M406" t="s">
        <v>30</v>
      </c>
    </row>
    <row r="407" spans="1:13" x14ac:dyDescent="0.3">
      <c r="A407" t="s">
        <v>854</v>
      </c>
      <c r="B407" s="4">
        <v>45331</v>
      </c>
      <c r="C407" s="6">
        <v>0.16875000000000001</v>
      </c>
      <c r="D407" t="s">
        <v>855</v>
      </c>
      <c r="E407" t="s">
        <v>69</v>
      </c>
      <c r="F407">
        <v>77</v>
      </c>
      <c r="G407" t="s">
        <v>135</v>
      </c>
      <c r="H407" t="s">
        <v>23</v>
      </c>
      <c r="I407" t="s">
        <v>24</v>
      </c>
      <c r="J407">
        <v>4</v>
      </c>
      <c r="K407">
        <v>36</v>
      </c>
      <c r="L407" t="s">
        <v>29</v>
      </c>
      <c r="M407" t="s">
        <v>30</v>
      </c>
    </row>
    <row r="408" spans="1:13" x14ac:dyDescent="0.3">
      <c r="A408" t="s">
        <v>856</v>
      </c>
      <c r="B408" s="4">
        <v>45331</v>
      </c>
      <c r="C408" s="6">
        <v>0.90277777777777779</v>
      </c>
      <c r="D408" t="s">
        <v>857</v>
      </c>
      <c r="E408" t="s">
        <v>21</v>
      </c>
      <c r="F408">
        <v>26</v>
      </c>
      <c r="G408" t="s">
        <v>135</v>
      </c>
      <c r="H408" t="s">
        <v>23</v>
      </c>
      <c r="I408" t="s">
        <v>98</v>
      </c>
      <c r="J408">
        <v>0</v>
      </c>
      <c r="K408">
        <v>49</v>
      </c>
      <c r="L408" t="s">
        <v>25</v>
      </c>
      <c r="M408" t="s">
        <v>30</v>
      </c>
    </row>
    <row r="409" spans="1:13" x14ac:dyDescent="0.3">
      <c r="A409" t="s">
        <v>858</v>
      </c>
      <c r="B409" s="4">
        <v>45335</v>
      </c>
      <c r="C409" s="6">
        <v>2.361111111111111E-2</v>
      </c>
      <c r="D409" t="s">
        <v>859</v>
      </c>
      <c r="E409" t="s">
        <v>21</v>
      </c>
      <c r="F409">
        <v>78</v>
      </c>
      <c r="G409" t="s">
        <v>135</v>
      </c>
      <c r="H409" t="s">
        <v>23</v>
      </c>
      <c r="I409" t="s">
        <v>98</v>
      </c>
      <c r="J409">
        <v>9</v>
      </c>
      <c r="K409">
        <v>42</v>
      </c>
      <c r="L409" t="s">
        <v>29</v>
      </c>
      <c r="M409" t="s">
        <v>30</v>
      </c>
    </row>
    <row r="410" spans="1:13" x14ac:dyDescent="0.3">
      <c r="A410" t="s">
        <v>860</v>
      </c>
      <c r="B410" s="4">
        <v>45341</v>
      </c>
      <c r="C410" s="6">
        <v>0.56736111111111109</v>
      </c>
      <c r="D410" t="s">
        <v>861</v>
      </c>
      <c r="E410" t="s">
        <v>21</v>
      </c>
      <c r="F410">
        <v>10</v>
      </c>
      <c r="G410" t="s">
        <v>22</v>
      </c>
      <c r="H410" t="s">
        <v>23</v>
      </c>
      <c r="I410" t="s">
        <v>24</v>
      </c>
      <c r="J410">
        <v>0</v>
      </c>
      <c r="K410">
        <v>24</v>
      </c>
      <c r="L410" t="s">
        <v>48</v>
      </c>
      <c r="M410" t="s">
        <v>26</v>
      </c>
    </row>
    <row r="411" spans="1:13" x14ac:dyDescent="0.3">
      <c r="A411" t="s">
        <v>862</v>
      </c>
      <c r="B411" s="4">
        <v>45332</v>
      </c>
      <c r="C411" s="6">
        <v>3.6111111111111108E-2</v>
      </c>
      <c r="D411" t="s">
        <v>863</v>
      </c>
      <c r="E411" t="s">
        <v>21</v>
      </c>
      <c r="F411">
        <v>76</v>
      </c>
      <c r="G411" t="s">
        <v>22</v>
      </c>
      <c r="H411" t="s">
        <v>23</v>
      </c>
      <c r="I411" t="s">
        <v>24</v>
      </c>
      <c r="J411">
        <v>2</v>
      </c>
      <c r="K411">
        <v>45</v>
      </c>
      <c r="L411" t="s">
        <v>29</v>
      </c>
      <c r="M411" t="s">
        <v>30</v>
      </c>
    </row>
    <row r="412" spans="1:13" x14ac:dyDescent="0.3">
      <c r="A412" t="s">
        <v>864</v>
      </c>
      <c r="B412" s="4">
        <v>45329</v>
      </c>
      <c r="C412" s="6">
        <v>0.70625000000000004</v>
      </c>
      <c r="D412" t="s">
        <v>865</v>
      </c>
      <c r="E412" t="s">
        <v>21</v>
      </c>
      <c r="F412">
        <v>40</v>
      </c>
      <c r="G412" t="s">
        <v>22</v>
      </c>
      <c r="H412" t="s">
        <v>23</v>
      </c>
      <c r="I412" t="s">
        <v>24</v>
      </c>
      <c r="J412">
        <v>6</v>
      </c>
      <c r="K412">
        <v>34</v>
      </c>
      <c r="L412" t="s">
        <v>36</v>
      </c>
      <c r="M412" t="s">
        <v>30</v>
      </c>
    </row>
    <row r="413" spans="1:13" x14ac:dyDescent="0.3">
      <c r="A413" t="s">
        <v>866</v>
      </c>
      <c r="B413" s="4">
        <v>45349</v>
      </c>
      <c r="C413" s="6">
        <v>0.14861111111111111</v>
      </c>
      <c r="D413" t="s">
        <v>867</v>
      </c>
      <c r="E413" t="s">
        <v>21</v>
      </c>
      <c r="F413">
        <v>67</v>
      </c>
      <c r="G413" t="s">
        <v>22</v>
      </c>
      <c r="H413" t="s">
        <v>23</v>
      </c>
      <c r="I413" t="s">
        <v>24</v>
      </c>
      <c r="J413">
        <v>8</v>
      </c>
      <c r="K413">
        <v>47</v>
      </c>
      <c r="L413" t="s">
        <v>53</v>
      </c>
      <c r="M413" t="s">
        <v>30</v>
      </c>
    </row>
    <row r="414" spans="1:13" x14ac:dyDescent="0.3">
      <c r="A414" t="s">
        <v>868</v>
      </c>
      <c r="B414" s="4">
        <v>45334</v>
      </c>
      <c r="C414" s="6">
        <v>0.79722222222222228</v>
      </c>
      <c r="D414" t="s">
        <v>869</v>
      </c>
      <c r="E414" t="s">
        <v>21</v>
      </c>
      <c r="F414">
        <v>48</v>
      </c>
      <c r="G414" t="s">
        <v>22</v>
      </c>
      <c r="H414" t="s">
        <v>23</v>
      </c>
      <c r="I414" t="s">
        <v>24</v>
      </c>
      <c r="J414">
        <v>9</v>
      </c>
      <c r="K414">
        <v>26</v>
      </c>
      <c r="L414" t="s">
        <v>56</v>
      </c>
      <c r="M414" t="s">
        <v>26</v>
      </c>
    </row>
    <row r="415" spans="1:13" x14ac:dyDescent="0.3">
      <c r="A415" t="s">
        <v>870</v>
      </c>
      <c r="B415" s="4">
        <v>45345</v>
      </c>
      <c r="C415" s="6">
        <v>0.91249999999999998</v>
      </c>
      <c r="D415" t="s">
        <v>871</v>
      </c>
      <c r="E415" t="s">
        <v>21</v>
      </c>
      <c r="F415">
        <v>57</v>
      </c>
      <c r="G415" t="s">
        <v>22</v>
      </c>
      <c r="H415" t="s">
        <v>23</v>
      </c>
      <c r="I415" t="s">
        <v>24</v>
      </c>
      <c r="J415">
        <v>9</v>
      </c>
      <c r="K415">
        <v>59</v>
      </c>
      <c r="L415" t="s">
        <v>33</v>
      </c>
      <c r="M415" t="s">
        <v>30</v>
      </c>
    </row>
    <row r="416" spans="1:13" x14ac:dyDescent="0.3">
      <c r="A416" t="s">
        <v>872</v>
      </c>
      <c r="B416" s="4">
        <v>45347</v>
      </c>
      <c r="C416" s="6">
        <v>0.43194444444444446</v>
      </c>
      <c r="D416" t="s">
        <v>873</v>
      </c>
      <c r="E416" t="s">
        <v>21</v>
      </c>
      <c r="F416">
        <v>70</v>
      </c>
      <c r="G416" t="s">
        <v>22</v>
      </c>
      <c r="H416" t="s">
        <v>23</v>
      </c>
      <c r="I416" t="s">
        <v>24</v>
      </c>
      <c r="J416">
        <v>10</v>
      </c>
      <c r="K416">
        <v>29</v>
      </c>
      <c r="L416" t="s">
        <v>53</v>
      </c>
      <c r="M416" t="s">
        <v>26</v>
      </c>
    </row>
    <row r="417" spans="1:13" x14ac:dyDescent="0.3">
      <c r="A417" t="s">
        <v>874</v>
      </c>
      <c r="B417" s="4">
        <v>45339</v>
      </c>
      <c r="C417" s="6">
        <v>0.61597222222222225</v>
      </c>
      <c r="D417" t="s">
        <v>875</v>
      </c>
      <c r="E417" t="s">
        <v>69</v>
      </c>
      <c r="F417">
        <v>26</v>
      </c>
      <c r="G417" t="s">
        <v>22</v>
      </c>
      <c r="H417" t="s">
        <v>23</v>
      </c>
      <c r="I417" t="s">
        <v>24</v>
      </c>
      <c r="J417">
        <v>0</v>
      </c>
      <c r="K417">
        <v>31</v>
      </c>
      <c r="L417" t="s">
        <v>25</v>
      </c>
      <c r="M417" t="s">
        <v>30</v>
      </c>
    </row>
    <row r="418" spans="1:13" x14ac:dyDescent="0.3">
      <c r="A418" t="s">
        <v>876</v>
      </c>
      <c r="B418" s="4">
        <v>45337</v>
      </c>
      <c r="C418" s="6">
        <v>0.12013888888888889</v>
      </c>
      <c r="D418" t="s">
        <v>877</v>
      </c>
      <c r="E418" t="s">
        <v>69</v>
      </c>
      <c r="F418">
        <v>58</v>
      </c>
      <c r="G418" t="s">
        <v>22</v>
      </c>
      <c r="H418" t="s">
        <v>23</v>
      </c>
      <c r="I418" t="s">
        <v>24</v>
      </c>
      <c r="J418">
        <v>4</v>
      </c>
      <c r="K418">
        <v>59</v>
      </c>
      <c r="L418" t="s">
        <v>33</v>
      </c>
      <c r="M418" t="s">
        <v>30</v>
      </c>
    </row>
    <row r="419" spans="1:13" x14ac:dyDescent="0.3">
      <c r="A419" t="s">
        <v>878</v>
      </c>
      <c r="B419" s="4">
        <v>45339</v>
      </c>
      <c r="C419" s="6">
        <v>0.82291666666666663</v>
      </c>
      <c r="D419" t="s">
        <v>879</v>
      </c>
      <c r="E419" t="s">
        <v>69</v>
      </c>
      <c r="F419">
        <v>9</v>
      </c>
      <c r="G419" t="s">
        <v>22</v>
      </c>
      <c r="H419" t="s">
        <v>23</v>
      </c>
      <c r="I419" t="s">
        <v>24</v>
      </c>
      <c r="J419">
        <v>5</v>
      </c>
      <c r="K419">
        <v>13</v>
      </c>
      <c r="L419" t="s">
        <v>48</v>
      </c>
      <c r="M419" t="s">
        <v>26</v>
      </c>
    </row>
    <row r="420" spans="1:13" x14ac:dyDescent="0.3">
      <c r="A420" t="s">
        <v>880</v>
      </c>
      <c r="B420" s="4">
        <v>45324</v>
      </c>
      <c r="C420" s="6">
        <v>0.13402777777777777</v>
      </c>
      <c r="D420" t="s">
        <v>881</v>
      </c>
      <c r="E420" t="s">
        <v>69</v>
      </c>
      <c r="F420">
        <v>19</v>
      </c>
      <c r="G420" t="s">
        <v>22</v>
      </c>
      <c r="H420" t="s">
        <v>23</v>
      </c>
      <c r="I420" t="s">
        <v>24</v>
      </c>
      <c r="J420">
        <v>6</v>
      </c>
      <c r="K420">
        <v>45</v>
      </c>
      <c r="L420" t="s">
        <v>39</v>
      </c>
      <c r="M420" t="s">
        <v>30</v>
      </c>
    </row>
    <row r="421" spans="1:13" x14ac:dyDescent="0.3">
      <c r="A421" t="s">
        <v>882</v>
      </c>
      <c r="B421" s="4">
        <v>45342</v>
      </c>
      <c r="C421" s="6">
        <v>6.2500000000000003E-3</v>
      </c>
      <c r="D421" t="s">
        <v>883</v>
      </c>
      <c r="E421" t="s">
        <v>69</v>
      </c>
      <c r="F421">
        <v>24</v>
      </c>
      <c r="G421" t="s">
        <v>22</v>
      </c>
      <c r="H421" t="s">
        <v>23</v>
      </c>
      <c r="I421" t="s">
        <v>24</v>
      </c>
      <c r="J421">
        <v>7</v>
      </c>
      <c r="K421">
        <v>41</v>
      </c>
      <c r="L421" t="s">
        <v>25</v>
      </c>
      <c r="M421" t="s">
        <v>30</v>
      </c>
    </row>
    <row r="422" spans="1:13" x14ac:dyDescent="0.3">
      <c r="A422" t="s">
        <v>884</v>
      </c>
      <c r="B422" s="4">
        <v>45341</v>
      </c>
      <c r="C422" s="6">
        <v>0.28749999999999998</v>
      </c>
      <c r="D422" t="s">
        <v>885</v>
      </c>
      <c r="E422" t="s">
        <v>69</v>
      </c>
      <c r="F422">
        <v>79</v>
      </c>
      <c r="G422" t="s">
        <v>22</v>
      </c>
      <c r="H422" t="s">
        <v>23</v>
      </c>
      <c r="I422" t="s">
        <v>98</v>
      </c>
      <c r="J422">
        <v>1</v>
      </c>
      <c r="K422">
        <v>42</v>
      </c>
      <c r="L422" t="s">
        <v>29</v>
      </c>
      <c r="M422" t="s">
        <v>30</v>
      </c>
    </row>
    <row r="423" spans="1:13" x14ac:dyDescent="0.3">
      <c r="A423" t="s">
        <v>886</v>
      </c>
      <c r="B423" s="4">
        <v>45335</v>
      </c>
      <c r="C423" s="6">
        <v>0.79236111111111107</v>
      </c>
      <c r="D423" t="s">
        <v>887</v>
      </c>
      <c r="E423" t="s">
        <v>69</v>
      </c>
      <c r="F423">
        <v>67</v>
      </c>
      <c r="G423" t="s">
        <v>22</v>
      </c>
      <c r="H423" t="s">
        <v>23</v>
      </c>
      <c r="I423" t="s">
        <v>98</v>
      </c>
      <c r="J423">
        <v>1</v>
      </c>
      <c r="K423">
        <v>17</v>
      </c>
      <c r="L423" t="s">
        <v>53</v>
      </c>
      <c r="M423" t="s">
        <v>26</v>
      </c>
    </row>
    <row r="424" spans="1:13" x14ac:dyDescent="0.3">
      <c r="A424" t="s">
        <v>888</v>
      </c>
      <c r="B424" s="4">
        <v>45324</v>
      </c>
      <c r="C424" s="6">
        <v>4.7222222222222221E-2</v>
      </c>
      <c r="D424" t="s">
        <v>889</v>
      </c>
      <c r="E424" t="s">
        <v>69</v>
      </c>
      <c r="F424">
        <v>56</v>
      </c>
      <c r="G424" t="s">
        <v>22</v>
      </c>
      <c r="H424" t="s">
        <v>23</v>
      </c>
      <c r="I424" t="s">
        <v>98</v>
      </c>
      <c r="J424">
        <v>5</v>
      </c>
      <c r="K424">
        <v>43</v>
      </c>
      <c r="L424" t="s">
        <v>33</v>
      </c>
      <c r="M424" t="s">
        <v>30</v>
      </c>
    </row>
    <row r="425" spans="1:13" x14ac:dyDescent="0.3">
      <c r="A425" t="s">
        <v>890</v>
      </c>
      <c r="B425" s="4">
        <v>45327</v>
      </c>
      <c r="C425" s="6">
        <v>0.5708333333333333</v>
      </c>
      <c r="D425" t="s">
        <v>891</v>
      </c>
      <c r="E425" t="s">
        <v>69</v>
      </c>
      <c r="F425">
        <v>3</v>
      </c>
      <c r="G425" t="s">
        <v>22</v>
      </c>
      <c r="H425" t="s">
        <v>23</v>
      </c>
      <c r="I425" t="s">
        <v>98</v>
      </c>
      <c r="J425">
        <v>7</v>
      </c>
      <c r="K425">
        <v>26</v>
      </c>
      <c r="L425" t="s">
        <v>48</v>
      </c>
      <c r="M425" t="s">
        <v>26</v>
      </c>
    </row>
    <row r="426" spans="1:13" x14ac:dyDescent="0.3">
      <c r="A426" t="s">
        <v>892</v>
      </c>
      <c r="B426" s="4">
        <v>45323</v>
      </c>
      <c r="C426" s="6">
        <v>0.2638888888888889</v>
      </c>
      <c r="D426" t="s">
        <v>893</v>
      </c>
      <c r="E426" t="s">
        <v>21</v>
      </c>
      <c r="F426">
        <v>78</v>
      </c>
      <c r="G426" t="s">
        <v>22</v>
      </c>
      <c r="H426" t="s">
        <v>23</v>
      </c>
      <c r="I426" t="s">
        <v>98</v>
      </c>
      <c r="J426">
        <v>0</v>
      </c>
      <c r="K426">
        <v>13</v>
      </c>
      <c r="L426" t="s">
        <v>29</v>
      </c>
      <c r="M426" t="s">
        <v>26</v>
      </c>
    </row>
    <row r="427" spans="1:13" x14ac:dyDescent="0.3">
      <c r="A427" t="s">
        <v>894</v>
      </c>
      <c r="B427" s="4">
        <v>45345</v>
      </c>
      <c r="C427" s="6">
        <v>0.82708333333333328</v>
      </c>
      <c r="D427" t="s">
        <v>895</v>
      </c>
      <c r="E427" t="s">
        <v>21</v>
      </c>
      <c r="F427">
        <v>72</v>
      </c>
      <c r="G427" t="s">
        <v>22</v>
      </c>
      <c r="H427" t="s">
        <v>23</v>
      </c>
      <c r="I427" t="s">
        <v>98</v>
      </c>
      <c r="J427">
        <v>0</v>
      </c>
      <c r="K427">
        <v>10</v>
      </c>
      <c r="L427" t="s">
        <v>29</v>
      </c>
      <c r="M427" t="s">
        <v>26</v>
      </c>
    </row>
    <row r="428" spans="1:13" x14ac:dyDescent="0.3">
      <c r="A428" t="s">
        <v>896</v>
      </c>
      <c r="B428" s="4">
        <v>45337</v>
      </c>
      <c r="C428" s="6">
        <v>0.62708333333333333</v>
      </c>
      <c r="D428" t="s">
        <v>897</v>
      </c>
      <c r="E428" t="s">
        <v>21</v>
      </c>
      <c r="F428">
        <v>28</v>
      </c>
      <c r="G428" t="s">
        <v>22</v>
      </c>
      <c r="H428" t="s">
        <v>23</v>
      </c>
      <c r="I428" t="s">
        <v>98</v>
      </c>
      <c r="J428">
        <v>1</v>
      </c>
      <c r="K428">
        <v>35</v>
      </c>
      <c r="L428" t="s">
        <v>25</v>
      </c>
      <c r="M428" t="s">
        <v>30</v>
      </c>
    </row>
    <row r="429" spans="1:13" x14ac:dyDescent="0.3">
      <c r="A429" t="s">
        <v>898</v>
      </c>
      <c r="B429" s="4">
        <v>45330</v>
      </c>
      <c r="C429" s="6">
        <v>0.79722222222222228</v>
      </c>
      <c r="D429" t="s">
        <v>899</v>
      </c>
      <c r="E429" t="s">
        <v>21</v>
      </c>
      <c r="F429">
        <v>27</v>
      </c>
      <c r="G429" t="s">
        <v>22</v>
      </c>
      <c r="H429" t="s">
        <v>23</v>
      </c>
      <c r="I429" t="s">
        <v>98</v>
      </c>
      <c r="J429">
        <v>2</v>
      </c>
      <c r="K429">
        <v>44</v>
      </c>
      <c r="L429" t="s">
        <v>25</v>
      </c>
      <c r="M429" t="s">
        <v>30</v>
      </c>
    </row>
    <row r="430" spans="1:13" x14ac:dyDescent="0.3">
      <c r="A430" t="s">
        <v>900</v>
      </c>
      <c r="B430" s="4">
        <v>45334</v>
      </c>
      <c r="C430" s="6">
        <v>0.63055555555555554</v>
      </c>
      <c r="D430" t="s">
        <v>901</v>
      </c>
      <c r="E430" t="s">
        <v>21</v>
      </c>
      <c r="F430">
        <v>8</v>
      </c>
      <c r="G430" t="s">
        <v>22</v>
      </c>
      <c r="H430" t="s">
        <v>23</v>
      </c>
      <c r="I430" t="s">
        <v>98</v>
      </c>
      <c r="J430">
        <v>3</v>
      </c>
      <c r="K430">
        <v>37</v>
      </c>
      <c r="L430" t="s">
        <v>48</v>
      </c>
      <c r="M430" t="s">
        <v>30</v>
      </c>
    </row>
    <row r="431" spans="1:13" x14ac:dyDescent="0.3">
      <c r="A431" t="s">
        <v>902</v>
      </c>
      <c r="B431" s="4">
        <v>45351</v>
      </c>
      <c r="C431" s="6">
        <v>0.12708333333333333</v>
      </c>
      <c r="D431" t="s">
        <v>903</v>
      </c>
      <c r="E431" t="s">
        <v>21</v>
      </c>
      <c r="F431">
        <v>32</v>
      </c>
      <c r="G431" t="s">
        <v>22</v>
      </c>
      <c r="H431" t="s">
        <v>23</v>
      </c>
      <c r="I431" t="s">
        <v>98</v>
      </c>
      <c r="J431">
        <v>4</v>
      </c>
      <c r="K431">
        <v>36</v>
      </c>
      <c r="L431" t="s">
        <v>36</v>
      </c>
      <c r="M431" t="s">
        <v>30</v>
      </c>
    </row>
    <row r="432" spans="1:13" x14ac:dyDescent="0.3">
      <c r="A432" t="s">
        <v>904</v>
      </c>
      <c r="B432" s="4">
        <v>45343</v>
      </c>
      <c r="C432" s="6">
        <v>0.87222222222222223</v>
      </c>
      <c r="D432" t="s">
        <v>905</v>
      </c>
      <c r="E432" t="s">
        <v>21</v>
      </c>
      <c r="F432">
        <v>7</v>
      </c>
      <c r="G432" t="s">
        <v>22</v>
      </c>
      <c r="H432" t="s">
        <v>23</v>
      </c>
      <c r="I432" t="s">
        <v>98</v>
      </c>
      <c r="J432">
        <v>7</v>
      </c>
      <c r="K432">
        <v>22</v>
      </c>
      <c r="L432" t="s">
        <v>48</v>
      </c>
      <c r="M432" t="s">
        <v>26</v>
      </c>
    </row>
    <row r="433" spans="1:13" x14ac:dyDescent="0.3">
      <c r="A433" t="s">
        <v>906</v>
      </c>
      <c r="B433" s="4">
        <v>45327</v>
      </c>
      <c r="C433" s="6">
        <v>0.91597222222222219</v>
      </c>
      <c r="D433" t="s">
        <v>907</v>
      </c>
      <c r="E433" t="s">
        <v>21</v>
      </c>
      <c r="F433">
        <v>33</v>
      </c>
      <c r="G433" t="s">
        <v>22</v>
      </c>
      <c r="H433" t="s">
        <v>23</v>
      </c>
      <c r="I433" t="s">
        <v>98</v>
      </c>
      <c r="J433">
        <v>9</v>
      </c>
      <c r="K433">
        <v>39</v>
      </c>
      <c r="L433" t="s">
        <v>36</v>
      </c>
      <c r="M433" t="s">
        <v>30</v>
      </c>
    </row>
    <row r="434" spans="1:13" x14ac:dyDescent="0.3">
      <c r="A434" t="s">
        <v>908</v>
      </c>
      <c r="B434" s="4">
        <v>45336</v>
      </c>
      <c r="C434" s="6">
        <v>0.54652777777777772</v>
      </c>
      <c r="D434" t="s">
        <v>909</v>
      </c>
      <c r="E434" t="s">
        <v>21</v>
      </c>
      <c r="F434">
        <v>23</v>
      </c>
      <c r="G434" t="s">
        <v>22</v>
      </c>
      <c r="H434" t="s">
        <v>23</v>
      </c>
      <c r="I434" t="s">
        <v>98</v>
      </c>
      <c r="J434">
        <v>10</v>
      </c>
      <c r="K434">
        <v>21</v>
      </c>
      <c r="L434" t="s">
        <v>25</v>
      </c>
      <c r="M434"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D6432-EA7C-4511-9B51-4D79DB47337A}">
  <dimension ref="A1:M107"/>
  <sheetViews>
    <sheetView topLeftCell="A39" zoomScale="115" zoomScaleNormal="115" workbookViewId="0">
      <selection activeCell="C45" sqref="C45"/>
    </sheetView>
  </sheetViews>
  <sheetFormatPr defaultRowHeight="14.4" x14ac:dyDescent="0.3"/>
  <cols>
    <col min="1" max="1" width="32.44140625" bestFit="1" customWidth="1"/>
    <col min="2" max="2" width="16.77734375" customWidth="1"/>
    <col min="3" max="3" width="12.33203125" customWidth="1"/>
    <col min="4" max="4" width="15.6640625" bestFit="1" customWidth="1"/>
    <col min="5" max="5" width="13.44140625" hidden="1" customWidth="1"/>
    <col min="6" max="6" width="18.88671875" bestFit="1" customWidth="1"/>
    <col min="7" max="8" width="10.33203125" bestFit="1" customWidth="1"/>
    <col min="9" max="9" width="12.5546875" bestFit="1" customWidth="1"/>
    <col min="10" max="10" width="25.109375" bestFit="1" customWidth="1"/>
    <col min="11" max="11" width="24.88671875" customWidth="1"/>
    <col min="12" max="12" width="12.5546875" bestFit="1" customWidth="1"/>
    <col min="13" max="13" width="32.44140625" bestFit="1" customWidth="1"/>
    <col min="14" max="14" width="29.21875" bestFit="1" customWidth="1"/>
    <col min="15" max="584" width="10.33203125" bestFit="1" customWidth="1"/>
    <col min="585" max="585" width="10.77734375" bestFit="1" customWidth="1"/>
  </cols>
  <sheetData>
    <row r="1" spans="1:13" x14ac:dyDescent="0.3">
      <c r="A1" t="s">
        <v>0</v>
      </c>
    </row>
    <row r="5" spans="1:13" x14ac:dyDescent="0.3">
      <c r="A5" t="s">
        <v>1</v>
      </c>
      <c r="E5" t="s">
        <v>911</v>
      </c>
      <c r="I5" t="s">
        <v>912</v>
      </c>
      <c r="L5" t="s">
        <v>913</v>
      </c>
    </row>
    <row r="6" spans="1:13" x14ac:dyDescent="0.3">
      <c r="A6">
        <v>471</v>
      </c>
      <c r="E6" s="3" t="s">
        <v>5</v>
      </c>
      <c r="F6" t="s">
        <v>1</v>
      </c>
      <c r="I6" s="3" t="s">
        <v>5</v>
      </c>
      <c r="J6" t="s">
        <v>2</v>
      </c>
      <c r="L6" s="3" t="s">
        <v>5</v>
      </c>
      <c r="M6" t="s">
        <v>3</v>
      </c>
    </row>
    <row r="7" spans="1:13" x14ac:dyDescent="0.3">
      <c r="E7" s="5" t="s">
        <v>927</v>
      </c>
      <c r="F7">
        <v>20</v>
      </c>
      <c r="I7" s="5" t="s">
        <v>927</v>
      </c>
      <c r="J7" s="1">
        <v>37.4</v>
      </c>
      <c r="L7" s="5" t="s">
        <v>927</v>
      </c>
      <c r="M7" s="1">
        <v>4.8571428571428568</v>
      </c>
    </row>
    <row r="8" spans="1:13" x14ac:dyDescent="0.3">
      <c r="E8" s="5" t="s">
        <v>928</v>
      </c>
      <c r="F8">
        <v>11</v>
      </c>
      <c r="I8" s="5" t="s">
        <v>928</v>
      </c>
      <c r="J8" s="1">
        <v>38.545454545454547</v>
      </c>
      <c r="L8" s="5" t="s">
        <v>928</v>
      </c>
      <c r="M8" s="1">
        <v>8</v>
      </c>
    </row>
    <row r="9" spans="1:13" x14ac:dyDescent="0.3">
      <c r="E9" s="5" t="s">
        <v>929</v>
      </c>
      <c r="F9">
        <v>18</v>
      </c>
      <c r="I9" s="5" t="s">
        <v>929</v>
      </c>
      <c r="J9" s="1">
        <v>31.333333333333332</v>
      </c>
      <c r="L9" s="5" t="s">
        <v>929</v>
      </c>
      <c r="M9" s="1">
        <v>6</v>
      </c>
    </row>
    <row r="10" spans="1:13" x14ac:dyDescent="0.3">
      <c r="E10" s="5" t="s">
        <v>930</v>
      </c>
      <c r="F10">
        <v>16</v>
      </c>
      <c r="I10" s="5" t="s">
        <v>930</v>
      </c>
      <c r="J10" s="1">
        <v>36.5</v>
      </c>
      <c r="L10" s="5" t="s">
        <v>930</v>
      </c>
      <c r="M10" s="1">
        <v>6.8</v>
      </c>
    </row>
    <row r="11" spans="1:13" x14ac:dyDescent="0.3">
      <c r="E11" s="5" t="s">
        <v>931</v>
      </c>
      <c r="F11">
        <v>11</v>
      </c>
      <c r="I11" s="5" t="s">
        <v>931</v>
      </c>
      <c r="J11" s="1">
        <v>25.727272727272727</v>
      </c>
      <c r="L11" s="5" t="s">
        <v>931</v>
      </c>
      <c r="M11" s="1">
        <v>3.5</v>
      </c>
    </row>
    <row r="12" spans="1:13" x14ac:dyDescent="0.3">
      <c r="E12" s="5" t="s">
        <v>932</v>
      </c>
      <c r="F12">
        <v>11</v>
      </c>
      <c r="I12" s="5" t="s">
        <v>932</v>
      </c>
      <c r="J12" s="1">
        <v>29.272727272727273</v>
      </c>
      <c r="L12" s="5" t="s">
        <v>932</v>
      </c>
      <c r="M12" s="1">
        <v>0.5</v>
      </c>
    </row>
    <row r="13" spans="1:13" x14ac:dyDescent="0.3">
      <c r="A13" t="s">
        <v>2</v>
      </c>
      <c r="E13" s="5" t="s">
        <v>933</v>
      </c>
      <c r="F13">
        <v>14</v>
      </c>
      <c r="I13" s="5" t="s">
        <v>933</v>
      </c>
      <c r="J13" s="1">
        <v>33.5</v>
      </c>
      <c r="L13" s="5" t="s">
        <v>933</v>
      </c>
      <c r="M13" s="1">
        <v>4</v>
      </c>
    </row>
    <row r="14" spans="1:13" x14ac:dyDescent="0.3">
      <c r="A14" s="1">
        <v>34.050955414012741</v>
      </c>
      <c r="E14" s="5" t="s">
        <v>934</v>
      </c>
      <c r="F14">
        <v>16</v>
      </c>
      <c r="I14" s="5" t="s">
        <v>934</v>
      </c>
      <c r="J14" s="1">
        <v>27.1875</v>
      </c>
      <c r="L14" s="5" t="s">
        <v>934</v>
      </c>
      <c r="M14" s="1">
        <v>4.75</v>
      </c>
    </row>
    <row r="15" spans="1:13" x14ac:dyDescent="0.3">
      <c r="E15" s="5" t="s">
        <v>935</v>
      </c>
      <c r="F15">
        <v>18</v>
      </c>
      <c r="I15" s="5" t="s">
        <v>935</v>
      </c>
      <c r="J15" s="1">
        <v>30.333333333333332</v>
      </c>
      <c r="L15" s="5" t="s">
        <v>935</v>
      </c>
      <c r="M15" s="1">
        <v>5</v>
      </c>
    </row>
    <row r="16" spans="1:13" x14ac:dyDescent="0.3">
      <c r="E16" s="5" t="s">
        <v>936</v>
      </c>
      <c r="F16">
        <v>10</v>
      </c>
      <c r="I16" s="5" t="s">
        <v>936</v>
      </c>
      <c r="J16" s="1">
        <v>32.5</v>
      </c>
      <c r="L16" s="5" t="s">
        <v>936</v>
      </c>
      <c r="M16" s="1">
        <v>10</v>
      </c>
    </row>
    <row r="17" spans="1:13" x14ac:dyDescent="0.3">
      <c r="E17" s="5" t="s">
        <v>937</v>
      </c>
      <c r="F17">
        <v>23</v>
      </c>
      <c r="I17" s="5" t="s">
        <v>937</v>
      </c>
      <c r="J17" s="1">
        <v>33.565217391304351</v>
      </c>
      <c r="L17" s="5" t="s">
        <v>937</v>
      </c>
      <c r="M17" s="1">
        <v>5.5</v>
      </c>
    </row>
    <row r="18" spans="1:13" x14ac:dyDescent="0.3">
      <c r="E18" s="5" t="s">
        <v>938</v>
      </c>
      <c r="F18">
        <v>19</v>
      </c>
      <c r="I18" s="5" t="s">
        <v>938</v>
      </c>
      <c r="J18" s="1">
        <v>37.473684210526315</v>
      </c>
      <c r="L18" s="5" t="s">
        <v>938</v>
      </c>
      <c r="M18" s="1">
        <v>4</v>
      </c>
    </row>
    <row r="19" spans="1:13" x14ac:dyDescent="0.3">
      <c r="E19" s="5" t="s">
        <v>939</v>
      </c>
      <c r="F19">
        <v>14</v>
      </c>
      <c r="I19" s="5" t="s">
        <v>939</v>
      </c>
      <c r="J19" s="1">
        <v>33.857142857142854</v>
      </c>
      <c r="L19" s="5" t="s">
        <v>939</v>
      </c>
      <c r="M19" s="1">
        <v>2.6666666666666665</v>
      </c>
    </row>
    <row r="20" spans="1:13" x14ac:dyDescent="0.3">
      <c r="A20" t="s">
        <v>3</v>
      </c>
      <c r="E20" s="5" t="s">
        <v>940</v>
      </c>
      <c r="F20">
        <v>20</v>
      </c>
      <c r="I20" s="5" t="s">
        <v>940</v>
      </c>
      <c r="J20" s="1">
        <v>32.25</v>
      </c>
      <c r="L20" s="5" t="s">
        <v>940</v>
      </c>
      <c r="M20" s="1">
        <v>5.1111111111111107</v>
      </c>
    </row>
    <row r="21" spans="1:13" x14ac:dyDescent="0.3">
      <c r="A21" s="1">
        <v>5.3120000000000003</v>
      </c>
      <c r="E21" s="5" t="s">
        <v>941</v>
      </c>
      <c r="F21">
        <v>15</v>
      </c>
      <c r="I21" s="5" t="s">
        <v>941</v>
      </c>
      <c r="J21" s="1">
        <v>43.666666666666664</v>
      </c>
      <c r="L21" s="5" t="s">
        <v>941</v>
      </c>
      <c r="M21" s="1">
        <v>6.25</v>
      </c>
    </row>
    <row r="22" spans="1:13" x14ac:dyDescent="0.3">
      <c r="E22" s="5" t="s">
        <v>942</v>
      </c>
      <c r="F22">
        <v>12</v>
      </c>
      <c r="I22" s="5" t="s">
        <v>942</v>
      </c>
      <c r="J22" s="1">
        <v>30.166666666666668</v>
      </c>
      <c r="L22" s="5" t="s">
        <v>942</v>
      </c>
      <c r="M22" s="1">
        <v>6.333333333333333</v>
      </c>
    </row>
    <row r="23" spans="1:13" x14ac:dyDescent="0.3">
      <c r="E23" s="5" t="s">
        <v>943</v>
      </c>
      <c r="F23">
        <v>17</v>
      </c>
      <c r="I23" s="5" t="s">
        <v>943</v>
      </c>
      <c r="J23" s="1">
        <v>33.823529411764703</v>
      </c>
      <c r="L23" s="5" t="s">
        <v>943</v>
      </c>
      <c r="M23" s="1">
        <v>7.666666666666667</v>
      </c>
    </row>
    <row r="24" spans="1:13" x14ac:dyDescent="0.3">
      <c r="E24" s="5" t="s">
        <v>944</v>
      </c>
      <c r="F24">
        <v>18</v>
      </c>
      <c r="I24" s="5" t="s">
        <v>944</v>
      </c>
      <c r="J24" s="1">
        <v>32.5</v>
      </c>
      <c r="L24" s="5" t="s">
        <v>944</v>
      </c>
      <c r="M24" s="1">
        <v>5.8</v>
      </c>
    </row>
    <row r="25" spans="1:13" x14ac:dyDescent="0.3">
      <c r="E25" s="5" t="s">
        <v>945</v>
      </c>
      <c r="F25">
        <v>16</v>
      </c>
      <c r="I25" s="5" t="s">
        <v>945</v>
      </c>
      <c r="J25" s="1">
        <v>39.25</v>
      </c>
      <c r="L25" s="5" t="s">
        <v>945</v>
      </c>
      <c r="M25" s="1">
        <v>6.666666666666667</v>
      </c>
    </row>
    <row r="26" spans="1:13" x14ac:dyDescent="0.3">
      <c r="E26" s="5" t="s">
        <v>946</v>
      </c>
      <c r="F26">
        <v>20</v>
      </c>
      <c r="I26" s="5" t="s">
        <v>946</v>
      </c>
      <c r="J26" s="1">
        <v>33.549999999999997</v>
      </c>
      <c r="L26" s="5" t="s">
        <v>946</v>
      </c>
      <c r="M26" s="1">
        <v>5.4444444444444446</v>
      </c>
    </row>
    <row r="27" spans="1:13" x14ac:dyDescent="0.3">
      <c r="E27" s="5" t="s">
        <v>947</v>
      </c>
      <c r="F27">
        <v>17</v>
      </c>
      <c r="I27" s="5" t="s">
        <v>947</v>
      </c>
      <c r="J27" s="1">
        <v>31.117647058823529</v>
      </c>
      <c r="L27" s="5" t="s">
        <v>947</v>
      </c>
      <c r="M27" s="1">
        <v>4.4000000000000004</v>
      </c>
    </row>
    <row r="28" spans="1:13" x14ac:dyDescent="0.3">
      <c r="E28" s="5" t="s">
        <v>948</v>
      </c>
      <c r="F28">
        <v>19</v>
      </c>
      <c r="I28" s="5" t="s">
        <v>948</v>
      </c>
      <c r="J28" s="1">
        <v>36.94736842105263</v>
      </c>
      <c r="L28" s="5" t="s">
        <v>948</v>
      </c>
      <c r="M28" s="1">
        <v>4.8</v>
      </c>
    </row>
    <row r="29" spans="1:13" x14ac:dyDescent="0.3">
      <c r="E29" s="5" t="s">
        <v>949</v>
      </c>
      <c r="F29">
        <v>17</v>
      </c>
      <c r="I29" s="5" t="s">
        <v>949</v>
      </c>
      <c r="J29" s="1">
        <v>43</v>
      </c>
      <c r="L29" s="5" t="s">
        <v>949</v>
      </c>
      <c r="M29" s="1">
        <v>4</v>
      </c>
    </row>
    <row r="30" spans="1:13" x14ac:dyDescent="0.3">
      <c r="E30" s="5" t="s">
        <v>950</v>
      </c>
      <c r="F30">
        <v>18</v>
      </c>
      <c r="I30" s="5" t="s">
        <v>950</v>
      </c>
      <c r="J30" s="1">
        <v>33.055555555555557</v>
      </c>
      <c r="L30" s="5" t="s">
        <v>950</v>
      </c>
      <c r="M30" s="1">
        <v>8.25</v>
      </c>
    </row>
    <row r="31" spans="1:13" x14ac:dyDescent="0.3">
      <c r="E31" s="5" t="s">
        <v>951</v>
      </c>
      <c r="F31">
        <v>18</v>
      </c>
      <c r="I31" s="5" t="s">
        <v>951</v>
      </c>
      <c r="J31" s="1">
        <v>32.888888888888886</v>
      </c>
      <c r="L31" s="5" t="s">
        <v>951</v>
      </c>
      <c r="M31" s="1">
        <v>4.5</v>
      </c>
    </row>
    <row r="32" spans="1:13" x14ac:dyDescent="0.3">
      <c r="E32" s="5" t="s">
        <v>952</v>
      </c>
      <c r="F32">
        <v>15</v>
      </c>
      <c r="I32" s="5" t="s">
        <v>952</v>
      </c>
      <c r="J32" s="1">
        <v>26.6</v>
      </c>
      <c r="L32" s="5" t="s">
        <v>952</v>
      </c>
      <c r="M32" s="1">
        <v>3.5</v>
      </c>
    </row>
    <row r="33" spans="1:13" x14ac:dyDescent="0.3">
      <c r="E33" s="5" t="s">
        <v>953</v>
      </c>
      <c r="F33">
        <v>10</v>
      </c>
      <c r="I33" s="5" t="s">
        <v>953</v>
      </c>
      <c r="J33" s="1">
        <v>28.2</v>
      </c>
      <c r="L33" s="5" t="s">
        <v>953</v>
      </c>
      <c r="M33" s="1">
        <v>7</v>
      </c>
    </row>
    <row r="34" spans="1:13" x14ac:dyDescent="0.3">
      <c r="E34" s="5" t="s">
        <v>954</v>
      </c>
      <c r="F34">
        <v>14</v>
      </c>
      <c r="I34" s="5" t="s">
        <v>954</v>
      </c>
      <c r="J34" s="1">
        <v>37.642857142857146</v>
      </c>
      <c r="L34" s="5" t="s">
        <v>954</v>
      </c>
      <c r="M34" s="1">
        <v>4.5</v>
      </c>
    </row>
    <row r="35" spans="1:13" x14ac:dyDescent="0.3">
      <c r="E35" s="5" t="s">
        <v>955</v>
      </c>
      <c r="F35">
        <v>9</v>
      </c>
      <c r="I35" s="5" t="s">
        <v>955</v>
      </c>
      <c r="J35" s="1">
        <v>40.333333333333336</v>
      </c>
      <c r="L35" s="5" t="s">
        <v>955</v>
      </c>
      <c r="M35" s="1">
        <v>4.666666666666667</v>
      </c>
    </row>
    <row r="36" spans="1:13" x14ac:dyDescent="0.3">
      <c r="E36" s="5" t="s">
        <v>956</v>
      </c>
      <c r="F36">
        <v>15</v>
      </c>
      <c r="I36" s="5" t="s">
        <v>956</v>
      </c>
      <c r="J36" s="1">
        <v>35.93333333333333</v>
      </c>
      <c r="L36" s="5" t="s">
        <v>956</v>
      </c>
      <c r="M36" s="1">
        <v>5.8</v>
      </c>
    </row>
    <row r="37" spans="1:13" x14ac:dyDescent="0.3">
      <c r="E37" s="5" t="s">
        <v>4</v>
      </c>
      <c r="F37">
        <v>471</v>
      </c>
      <c r="I37" s="5" t="s">
        <v>4</v>
      </c>
      <c r="J37">
        <v>34.050955414012741</v>
      </c>
      <c r="L37" s="5" t="s">
        <v>4</v>
      </c>
      <c r="M37">
        <v>5.3120000000000003</v>
      </c>
    </row>
    <row r="43" spans="1:13" x14ac:dyDescent="0.3">
      <c r="A43" s="3" t="s">
        <v>5</v>
      </c>
      <c r="B43" t="s">
        <v>914</v>
      </c>
      <c r="C43" t="s">
        <v>915</v>
      </c>
    </row>
    <row r="44" spans="1:13" x14ac:dyDescent="0.3">
      <c r="A44" s="5" t="s">
        <v>98</v>
      </c>
      <c r="B44">
        <v>224</v>
      </c>
      <c r="C44" s="9">
        <v>0.47558386411889597</v>
      </c>
    </row>
    <row r="45" spans="1:13" x14ac:dyDescent="0.3">
      <c r="A45" s="5" t="s">
        <v>24</v>
      </c>
      <c r="B45">
        <v>247</v>
      </c>
      <c r="C45" s="9">
        <v>0.52441613588110403</v>
      </c>
    </row>
    <row r="46" spans="1:13" x14ac:dyDescent="0.3">
      <c r="A46" s="5" t="s">
        <v>4</v>
      </c>
      <c r="B46">
        <v>471</v>
      </c>
      <c r="C46" s="9">
        <v>1</v>
      </c>
    </row>
    <row r="47" spans="1:13" x14ac:dyDescent="0.3">
      <c r="F47" s="11"/>
    </row>
    <row r="53" spans="1:11" x14ac:dyDescent="0.3">
      <c r="G53" s="8"/>
      <c r="H53" s="8"/>
    </row>
    <row r="54" spans="1:11" x14ac:dyDescent="0.3">
      <c r="G54" s="8"/>
      <c r="H54" s="8"/>
    </row>
    <row r="55" spans="1:11" x14ac:dyDescent="0.3">
      <c r="A55" t="s">
        <v>921</v>
      </c>
      <c r="G55" s="8"/>
      <c r="H55" s="8"/>
    </row>
    <row r="56" spans="1:11" x14ac:dyDescent="0.3">
      <c r="A56" s="15" t="s">
        <v>916</v>
      </c>
      <c r="B56" s="15" t="s">
        <v>918</v>
      </c>
      <c r="C56" s="14" t="s">
        <v>917</v>
      </c>
      <c r="D56" s="12"/>
      <c r="E56" s="12"/>
      <c r="G56" s="8"/>
      <c r="H56" s="8"/>
      <c r="J56" t="s">
        <v>920</v>
      </c>
    </row>
    <row r="57" spans="1:11" x14ac:dyDescent="0.3">
      <c r="A57" s="16" t="str">
        <f>A45</f>
        <v>Admitted</v>
      </c>
      <c r="B57" s="16">
        <f>B45</f>
        <v>247</v>
      </c>
      <c r="C57" s="13">
        <f>C45</f>
        <v>0.52441613588110403</v>
      </c>
      <c r="D57" s="12"/>
      <c r="E57" s="12"/>
      <c r="J57" s="3" t="s">
        <v>5</v>
      </c>
      <c r="K57" t="s">
        <v>919</v>
      </c>
    </row>
    <row r="58" spans="1:11" x14ac:dyDescent="0.3">
      <c r="A58" s="16" t="str">
        <f>A44</f>
        <v>Not Admitted</v>
      </c>
      <c r="B58" s="16">
        <f>B44</f>
        <v>224</v>
      </c>
      <c r="C58" s="13">
        <f>C44</f>
        <v>0.47558386411889597</v>
      </c>
      <c r="D58" s="12"/>
      <c r="E58" s="12"/>
      <c r="J58" s="5" t="s">
        <v>48</v>
      </c>
      <c r="K58" s="1">
        <v>77</v>
      </c>
    </row>
    <row r="59" spans="1:11" x14ac:dyDescent="0.3">
      <c r="D59" s="8"/>
      <c r="E59" s="8"/>
      <c r="J59" s="5" t="s">
        <v>39</v>
      </c>
      <c r="K59" s="1">
        <v>50</v>
      </c>
    </row>
    <row r="60" spans="1:11" x14ac:dyDescent="0.3">
      <c r="J60" s="5" t="s">
        <v>25</v>
      </c>
      <c r="K60" s="1">
        <v>67</v>
      </c>
    </row>
    <row r="61" spans="1:11" x14ac:dyDescent="0.3">
      <c r="J61" s="5" t="s">
        <v>36</v>
      </c>
      <c r="K61" s="1">
        <v>53</v>
      </c>
    </row>
    <row r="62" spans="1:11" x14ac:dyDescent="0.3">
      <c r="J62" s="5" t="s">
        <v>56</v>
      </c>
      <c r="K62" s="1">
        <v>59</v>
      </c>
    </row>
    <row r="63" spans="1:11" x14ac:dyDescent="0.3">
      <c r="J63" s="5" t="s">
        <v>33</v>
      </c>
      <c r="K63" s="1">
        <v>59</v>
      </c>
    </row>
    <row r="64" spans="1:11" x14ac:dyDescent="0.3">
      <c r="J64" s="5" t="s">
        <v>53</v>
      </c>
      <c r="K64" s="1">
        <v>48</v>
      </c>
    </row>
    <row r="65" spans="1:11" x14ac:dyDescent="0.3">
      <c r="A65" t="s">
        <v>3</v>
      </c>
      <c r="J65" s="5" t="s">
        <v>29</v>
      </c>
      <c r="K65" s="1">
        <v>58</v>
      </c>
    </row>
    <row r="66" spans="1:11" x14ac:dyDescent="0.3">
      <c r="A66" s="1">
        <v>5.3120000000000003</v>
      </c>
      <c r="J66" s="5" t="s">
        <v>4</v>
      </c>
      <c r="K66" s="1">
        <v>471</v>
      </c>
    </row>
    <row r="72" spans="1:11" x14ac:dyDescent="0.3">
      <c r="J72" t="s">
        <v>923</v>
      </c>
    </row>
    <row r="73" spans="1:11" x14ac:dyDescent="0.3">
      <c r="J73" s="3" t="s">
        <v>5</v>
      </c>
      <c r="K73" t="s">
        <v>922</v>
      </c>
    </row>
    <row r="74" spans="1:11" x14ac:dyDescent="0.3">
      <c r="J74" s="5" t="s">
        <v>30</v>
      </c>
      <c r="K74" s="10">
        <v>276</v>
      </c>
    </row>
    <row r="75" spans="1:11" x14ac:dyDescent="0.3">
      <c r="J75" s="5" t="s">
        <v>26</v>
      </c>
      <c r="K75" s="10">
        <v>195</v>
      </c>
    </row>
    <row r="76" spans="1:11" x14ac:dyDescent="0.3">
      <c r="J76" s="5" t="s">
        <v>4</v>
      </c>
      <c r="K76" s="1">
        <v>471</v>
      </c>
    </row>
    <row r="77" spans="1:11" x14ac:dyDescent="0.3">
      <c r="A77" s="3" t="s">
        <v>5</v>
      </c>
      <c r="B77" t="s">
        <v>924</v>
      </c>
    </row>
    <row r="78" spans="1:11" x14ac:dyDescent="0.3">
      <c r="A78" s="5" t="s">
        <v>69</v>
      </c>
      <c r="B78" s="1">
        <v>227</v>
      </c>
    </row>
    <row r="79" spans="1:11" x14ac:dyDescent="0.3">
      <c r="A79" s="5" t="s">
        <v>21</v>
      </c>
      <c r="B79" s="1">
        <v>244</v>
      </c>
    </row>
    <row r="80" spans="1:11" x14ac:dyDescent="0.3">
      <c r="A80" s="5" t="s">
        <v>4</v>
      </c>
      <c r="B80" s="1">
        <v>471</v>
      </c>
      <c r="H80" s="7"/>
    </row>
    <row r="90" spans="1:2" x14ac:dyDescent="0.3">
      <c r="A90" s="3" t="s">
        <v>5</v>
      </c>
      <c r="B90" t="s">
        <v>925</v>
      </c>
    </row>
    <row r="91" spans="1:2" x14ac:dyDescent="0.3">
      <c r="A91" s="5" t="s">
        <v>23</v>
      </c>
      <c r="B91" s="10">
        <v>266</v>
      </c>
    </row>
    <row r="92" spans="1:2" x14ac:dyDescent="0.3">
      <c r="A92" s="5" t="s">
        <v>411</v>
      </c>
      <c r="B92" s="10">
        <v>96</v>
      </c>
    </row>
    <row r="93" spans="1:2" x14ac:dyDescent="0.3">
      <c r="A93" s="5" t="s">
        <v>532</v>
      </c>
      <c r="B93" s="10">
        <v>54</v>
      </c>
    </row>
    <row r="94" spans="1:2" x14ac:dyDescent="0.3">
      <c r="A94" s="5" t="s">
        <v>603</v>
      </c>
      <c r="B94" s="10">
        <v>17</v>
      </c>
    </row>
    <row r="95" spans="1:2" x14ac:dyDescent="0.3">
      <c r="A95" s="5" t="s">
        <v>637</v>
      </c>
      <c r="B95" s="10">
        <v>15</v>
      </c>
    </row>
    <row r="96" spans="1:2" x14ac:dyDescent="0.3">
      <c r="A96" s="5" t="s">
        <v>618</v>
      </c>
      <c r="B96" s="10">
        <v>13</v>
      </c>
    </row>
    <row r="97" spans="1:6" x14ac:dyDescent="0.3">
      <c r="A97" s="5" t="s">
        <v>646</v>
      </c>
      <c r="B97" s="10">
        <v>9</v>
      </c>
    </row>
    <row r="98" spans="1:6" x14ac:dyDescent="0.3">
      <c r="A98" s="5" t="s">
        <v>653</v>
      </c>
      <c r="B98" s="10">
        <v>1</v>
      </c>
    </row>
    <row r="99" spans="1:6" x14ac:dyDescent="0.3">
      <c r="A99" s="5" t="s">
        <v>4</v>
      </c>
      <c r="B99" s="1">
        <v>471</v>
      </c>
    </row>
    <row r="105" spans="1:6" x14ac:dyDescent="0.3">
      <c r="F105" s="3" t="s">
        <v>5</v>
      </c>
    </row>
    <row r="106" spans="1:6" x14ac:dyDescent="0.3">
      <c r="F106" s="5" t="s">
        <v>926</v>
      </c>
    </row>
    <row r="107" spans="1:6" x14ac:dyDescent="0.3">
      <c r="F107" s="5" t="s">
        <v>4</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2C7D-0A5E-4290-B509-341E31D5A661}">
  <dimension ref="A1:AC44"/>
  <sheetViews>
    <sheetView tabSelected="1" zoomScaleNormal="100" workbookViewId="0">
      <selection activeCell="E35" sqref="E35"/>
    </sheetView>
  </sheetViews>
  <sheetFormatPr defaultRowHeight="14.4" x14ac:dyDescent="0.3"/>
  <cols>
    <col min="10" max="10" width="9" customWidth="1"/>
    <col min="25" max="25" width="10.6640625" customWidth="1"/>
  </cols>
  <sheetData>
    <row r="1" spans="1:29" x14ac:dyDescent="0.3">
      <c r="A1" s="2" t="s">
        <v>0</v>
      </c>
      <c r="B1" s="2"/>
      <c r="C1" s="2"/>
      <c r="D1" s="2"/>
      <c r="E1" s="2"/>
      <c r="F1" s="2"/>
      <c r="G1" s="2"/>
      <c r="H1" s="2"/>
      <c r="I1" s="2"/>
      <c r="J1" s="2"/>
      <c r="K1" s="2"/>
      <c r="L1" s="2"/>
      <c r="M1" s="2"/>
      <c r="N1" s="2"/>
      <c r="O1" s="2"/>
      <c r="P1" s="2"/>
      <c r="Q1" s="2"/>
      <c r="R1" s="2"/>
      <c r="S1" s="2"/>
      <c r="T1" s="2"/>
      <c r="U1" s="2"/>
      <c r="V1" s="2"/>
      <c r="W1" s="2"/>
      <c r="X1" s="2"/>
      <c r="Y1" s="2"/>
      <c r="Z1" s="2"/>
      <c r="AA1" s="2"/>
      <c r="AB1" s="2"/>
      <c r="AC1" s="2"/>
    </row>
    <row r="2" spans="1:29"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29"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row>
    <row r="4" spans="1:29"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row>
    <row r="5" spans="1:29"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row>
    <row r="6" spans="1:29"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row>
    <row r="7" spans="1:29"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row>
    <row r="8" spans="1:29"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row>
    <row r="9" spans="1:29"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row>
    <row r="10" spans="1:29"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spans="1:29"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spans="1:29" x14ac:dyDescent="0.3">
      <c r="A12" s="2"/>
      <c r="B12" s="2"/>
      <c r="C12" s="2"/>
      <c r="D12" s="2"/>
      <c r="E12" s="2"/>
      <c r="F12" s="2"/>
      <c r="G12" s="2"/>
      <c r="H12" s="2"/>
      <c r="I12" s="2"/>
      <c r="J12" s="2"/>
      <c r="K12" s="2"/>
      <c r="L12" s="2"/>
      <c r="M12" s="2"/>
      <c r="N12" s="2"/>
      <c r="O12" s="2"/>
      <c r="P12" s="2"/>
      <c r="Q12" s="2"/>
      <c r="R12" s="2"/>
      <c r="S12" s="2"/>
      <c r="T12" s="2"/>
      <c r="U12" s="2"/>
      <c r="V12" s="2"/>
      <c r="W12" s="2"/>
      <c r="X12" s="2"/>
      <c r="Y12" s="2"/>
      <c r="Z12" s="2" t="s">
        <v>0</v>
      </c>
      <c r="AA12" s="2"/>
      <c r="AB12" s="2"/>
      <c r="AC12" s="2"/>
    </row>
    <row r="13" spans="1:29"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spans="1:29"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spans="1:29"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spans="1:29"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CF094-66D3-4A68-AEB4-DDB627F90C92}">
  <dimension ref="A1:V29"/>
  <sheetViews>
    <sheetView workbookViewId="0"/>
  </sheetViews>
  <sheetFormatPr defaultRowHeight="14.4" x14ac:dyDescent="0.3"/>
  <sheetData>
    <row r="1" spans="1:22" x14ac:dyDescent="0.3">
      <c r="A1" s="2"/>
      <c r="B1" s="2"/>
      <c r="C1" s="2"/>
      <c r="D1" s="2"/>
      <c r="E1" s="2"/>
      <c r="F1" s="2"/>
      <c r="G1" s="2"/>
      <c r="H1" s="2"/>
      <c r="I1" s="2"/>
      <c r="J1" s="2"/>
      <c r="K1" s="2"/>
      <c r="L1" s="2"/>
      <c r="M1" s="2"/>
      <c r="N1" s="2"/>
      <c r="O1" s="2"/>
      <c r="P1" s="2"/>
      <c r="Q1" s="2"/>
      <c r="R1" s="2"/>
      <c r="S1" s="2"/>
      <c r="T1" s="2"/>
      <c r="U1" s="2"/>
      <c r="V1" s="2"/>
    </row>
    <row r="2" spans="1:22" x14ac:dyDescent="0.3">
      <c r="A2" s="2"/>
      <c r="B2" s="2"/>
      <c r="C2" s="2"/>
      <c r="D2" s="2"/>
      <c r="E2" s="2"/>
      <c r="F2" s="2"/>
      <c r="G2" s="2"/>
      <c r="H2" s="2"/>
      <c r="I2" s="2"/>
      <c r="J2" s="2"/>
      <c r="K2" s="2"/>
      <c r="L2" s="2"/>
      <c r="M2" s="2"/>
      <c r="N2" s="2"/>
      <c r="O2" s="2"/>
      <c r="P2" s="2"/>
      <c r="Q2" s="2"/>
      <c r="R2" s="2"/>
      <c r="S2" s="2"/>
      <c r="T2" s="2"/>
      <c r="U2" s="2"/>
      <c r="V2" s="2"/>
    </row>
    <row r="3" spans="1:22" x14ac:dyDescent="0.3">
      <c r="A3" s="2"/>
      <c r="B3" s="2"/>
      <c r="C3" s="2"/>
      <c r="D3" s="2"/>
      <c r="E3" s="2"/>
      <c r="F3" s="2"/>
      <c r="G3" s="2"/>
      <c r="H3" s="2"/>
      <c r="I3" s="2"/>
      <c r="J3" s="2"/>
      <c r="K3" s="2"/>
      <c r="L3" s="2"/>
      <c r="M3" s="2"/>
      <c r="N3" s="2"/>
      <c r="O3" s="2"/>
      <c r="P3" s="2"/>
      <c r="Q3" s="2"/>
      <c r="R3" s="2"/>
      <c r="S3" s="2"/>
      <c r="T3" s="2"/>
      <c r="U3" s="2"/>
      <c r="V3" s="2"/>
    </row>
    <row r="4" spans="1:22" x14ac:dyDescent="0.3">
      <c r="A4" s="2"/>
      <c r="B4" s="2"/>
      <c r="C4" s="2"/>
      <c r="D4" s="2"/>
      <c r="E4" s="2"/>
      <c r="F4" s="2"/>
      <c r="G4" s="2"/>
      <c r="H4" s="2"/>
      <c r="I4" s="2"/>
      <c r="J4" s="2"/>
      <c r="K4" s="2"/>
      <c r="L4" s="2"/>
      <c r="M4" s="2"/>
      <c r="N4" s="2"/>
      <c r="O4" s="2"/>
      <c r="P4" s="2"/>
      <c r="Q4" s="2"/>
      <c r="R4" s="2"/>
      <c r="S4" s="2"/>
      <c r="T4" s="2"/>
      <c r="U4" s="2"/>
      <c r="V4" s="2"/>
    </row>
    <row r="5" spans="1:22" x14ac:dyDescent="0.3">
      <c r="A5" s="2"/>
      <c r="B5" s="2"/>
      <c r="C5" s="2"/>
      <c r="D5" s="2"/>
      <c r="E5" s="2"/>
      <c r="F5" s="2"/>
      <c r="G5" s="2"/>
      <c r="H5" s="2"/>
      <c r="I5" s="2"/>
      <c r="J5" s="2"/>
      <c r="K5" s="2"/>
      <c r="L5" s="2"/>
      <c r="M5" s="2"/>
      <c r="N5" s="2"/>
      <c r="O5" s="2"/>
      <c r="P5" s="2"/>
      <c r="Q5" s="2"/>
      <c r="R5" s="2"/>
      <c r="S5" s="2"/>
      <c r="T5" s="2"/>
      <c r="U5" s="2"/>
      <c r="V5" s="2"/>
    </row>
    <row r="6" spans="1:22" x14ac:dyDescent="0.3">
      <c r="A6" s="2"/>
      <c r="B6" s="2"/>
      <c r="C6" s="2"/>
      <c r="D6" s="2"/>
      <c r="E6" s="2"/>
      <c r="F6" s="2"/>
      <c r="G6" s="2"/>
      <c r="H6" s="2"/>
      <c r="I6" s="2"/>
      <c r="J6" s="2"/>
      <c r="K6" s="2"/>
      <c r="L6" s="2"/>
      <c r="M6" s="2"/>
      <c r="N6" s="2"/>
      <c r="O6" s="2"/>
      <c r="P6" s="2"/>
      <c r="Q6" s="2"/>
      <c r="R6" s="2"/>
      <c r="S6" s="2"/>
      <c r="T6" s="2"/>
      <c r="U6" s="2"/>
      <c r="V6" s="2"/>
    </row>
    <row r="7" spans="1:22" x14ac:dyDescent="0.3">
      <c r="A7" s="2"/>
      <c r="B7" s="2"/>
      <c r="C7" s="2"/>
      <c r="D7" s="2"/>
      <c r="E7" s="2"/>
      <c r="F7" s="2"/>
      <c r="G7" s="2"/>
      <c r="H7" s="2"/>
      <c r="I7" s="2"/>
      <c r="J7" s="2"/>
      <c r="K7" s="2"/>
      <c r="L7" s="2"/>
      <c r="M7" s="2"/>
      <c r="N7" s="2"/>
      <c r="O7" s="2"/>
      <c r="P7" s="2"/>
      <c r="Q7" s="2"/>
      <c r="R7" s="2"/>
      <c r="S7" s="2"/>
      <c r="T7" s="2"/>
      <c r="U7" s="2"/>
      <c r="V7" s="2"/>
    </row>
    <row r="8" spans="1:22" x14ac:dyDescent="0.3">
      <c r="A8" s="2"/>
      <c r="B8" s="2"/>
      <c r="C8" s="2"/>
      <c r="D8" s="2"/>
      <c r="E8" s="2"/>
      <c r="F8" s="2"/>
      <c r="G8" s="2"/>
      <c r="H8" s="2"/>
      <c r="I8" s="2"/>
      <c r="J8" s="2"/>
      <c r="K8" s="2"/>
      <c r="L8" s="2"/>
      <c r="M8" s="2"/>
      <c r="N8" s="2"/>
      <c r="O8" s="2"/>
      <c r="P8" s="2"/>
      <c r="Q8" s="2"/>
      <c r="R8" s="2"/>
      <c r="S8" s="2"/>
      <c r="T8" s="2"/>
      <c r="U8" s="2"/>
      <c r="V8" s="2"/>
    </row>
    <row r="9" spans="1:22" x14ac:dyDescent="0.3">
      <c r="A9" s="2"/>
      <c r="B9" s="2"/>
      <c r="C9" s="2"/>
      <c r="D9" s="2"/>
      <c r="E9" s="2"/>
      <c r="F9" s="2"/>
      <c r="G9" s="2"/>
      <c r="H9" s="2"/>
      <c r="I9" s="2"/>
      <c r="J9" s="2"/>
      <c r="K9" s="2"/>
      <c r="L9" s="2"/>
      <c r="M9" s="2"/>
      <c r="N9" s="2"/>
      <c r="O9" s="2"/>
      <c r="P9" s="2"/>
      <c r="Q9" s="2"/>
      <c r="R9" s="2"/>
      <c r="S9" s="2"/>
      <c r="T9" s="2"/>
      <c r="U9" s="2"/>
      <c r="V9" s="2"/>
    </row>
    <row r="10" spans="1:22" x14ac:dyDescent="0.3">
      <c r="A10" s="2"/>
      <c r="B10" s="2"/>
      <c r="C10" s="2"/>
      <c r="D10" s="2"/>
      <c r="E10" s="2"/>
      <c r="F10" s="2"/>
      <c r="G10" s="2"/>
      <c r="H10" s="2"/>
      <c r="I10" s="2"/>
      <c r="J10" s="2"/>
      <c r="K10" s="2"/>
      <c r="L10" s="2"/>
      <c r="M10" s="2"/>
      <c r="N10" s="2"/>
      <c r="O10" s="2"/>
      <c r="P10" s="2"/>
      <c r="Q10" s="2"/>
      <c r="R10" s="2"/>
      <c r="S10" s="2"/>
      <c r="T10" s="2"/>
      <c r="U10" s="2"/>
      <c r="V10" s="2"/>
    </row>
    <row r="11" spans="1:22" x14ac:dyDescent="0.3">
      <c r="A11" s="2"/>
      <c r="B11" s="2"/>
      <c r="C11" s="2"/>
      <c r="D11" s="2"/>
      <c r="E11" s="2"/>
      <c r="F11" s="2"/>
      <c r="G11" s="2"/>
      <c r="H11" s="2"/>
      <c r="I11" s="2"/>
      <c r="J11" s="2"/>
      <c r="K11" s="2"/>
      <c r="L11" s="2"/>
      <c r="M11" s="2"/>
      <c r="N11" s="2"/>
      <c r="O11" s="2"/>
      <c r="P11" s="2"/>
      <c r="Q11" s="2"/>
      <c r="R11" s="2"/>
      <c r="S11" s="2"/>
      <c r="T11" s="2"/>
      <c r="U11" s="2"/>
      <c r="V11" s="2"/>
    </row>
    <row r="12" spans="1:22" x14ac:dyDescent="0.3">
      <c r="A12" s="2"/>
      <c r="B12" s="2"/>
      <c r="C12" s="2"/>
      <c r="D12" s="2"/>
      <c r="E12" s="2"/>
      <c r="F12" s="2"/>
      <c r="G12" s="2"/>
      <c r="H12" s="2"/>
      <c r="I12" s="2"/>
      <c r="J12" s="2"/>
      <c r="K12" s="2"/>
      <c r="L12" s="2"/>
      <c r="M12" s="2"/>
      <c r="N12" s="2"/>
      <c r="O12" s="2"/>
      <c r="P12" s="2"/>
      <c r="Q12" s="2"/>
      <c r="R12" s="2"/>
      <c r="S12" s="2"/>
      <c r="T12" s="2"/>
      <c r="U12" s="2"/>
      <c r="V12" s="2"/>
    </row>
    <row r="13" spans="1:22" x14ac:dyDescent="0.3">
      <c r="A13" s="2"/>
      <c r="B13" s="2"/>
      <c r="C13" s="2"/>
      <c r="D13" s="2"/>
      <c r="E13" s="2"/>
      <c r="F13" s="2"/>
      <c r="G13" s="2"/>
      <c r="H13" s="2"/>
      <c r="I13" s="2"/>
      <c r="J13" s="2"/>
      <c r="K13" s="2"/>
      <c r="L13" s="2"/>
      <c r="M13" s="2"/>
      <c r="N13" s="2"/>
      <c r="O13" s="2"/>
      <c r="P13" s="2"/>
      <c r="Q13" s="2"/>
      <c r="R13" s="2"/>
      <c r="S13" s="2"/>
      <c r="T13" s="2"/>
      <c r="U13" s="2"/>
      <c r="V13" s="2"/>
    </row>
    <row r="14" spans="1:22" x14ac:dyDescent="0.3">
      <c r="A14" s="2"/>
      <c r="B14" s="2"/>
      <c r="C14" s="2"/>
      <c r="D14" s="2"/>
      <c r="E14" s="2"/>
      <c r="F14" s="2"/>
      <c r="G14" s="2"/>
      <c r="H14" s="2"/>
      <c r="I14" s="2"/>
      <c r="J14" s="2"/>
      <c r="K14" s="2"/>
      <c r="L14" s="2"/>
      <c r="M14" s="2"/>
      <c r="N14" s="2"/>
      <c r="O14" s="2"/>
      <c r="P14" s="2"/>
      <c r="Q14" s="2"/>
      <c r="R14" s="2"/>
      <c r="S14" s="2"/>
      <c r="T14" s="2"/>
      <c r="U14" s="2"/>
      <c r="V14" s="2"/>
    </row>
    <row r="15" spans="1:22" x14ac:dyDescent="0.3">
      <c r="A15" s="2"/>
      <c r="B15" s="2"/>
      <c r="C15" s="2"/>
      <c r="D15" s="2"/>
      <c r="E15" s="2"/>
      <c r="F15" s="2"/>
      <c r="G15" s="2"/>
      <c r="H15" s="2"/>
      <c r="I15" s="2"/>
      <c r="J15" s="2"/>
      <c r="K15" s="2"/>
      <c r="L15" s="2"/>
      <c r="M15" s="2"/>
      <c r="N15" s="2"/>
      <c r="O15" s="2"/>
      <c r="P15" s="2"/>
      <c r="Q15" s="2"/>
      <c r="R15" s="2"/>
      <c r="S15" s="2"/>
      <c r="T15" s="2"/>
      <c r="U15" s="2"/>
      <c r="V15" s="2"/>
    </row>
    <row r="16" spans="1:22" x14ac:dyDescent="0.3">
      <c r="A16" s="2"/>
      <c r="B16" s="2"/>
      <c r="C16" s="2"/>
      <c r="D16" s="2"/>
      <c r="E16" s="2"/>
      <c r="F16" s="2"/>
      <c r="G16" s="2"/>
      <c r="H16" s="2"/>
      <c r="I16" s="2"/>
      <c r="J16" s="2"/>
      <c r="K16" s="2"/>
      <c r="L16" s="2"/>
      <c r="M16" s="2"/>
      <c r="N16" s="2"/>
      <c r="O16" s="2"/>
      <c r="P16" s="2"/>
      <c r="Q16" s="2"/>
      <c r="R16" s="2"/>
      <c r="S16" s="2"/>
      <c r="T16" s="2"/>
      <c r="U16" s="2"/>
      <c r="V16" s="2"/>
    </row>
    <row r="17" spans="1:22" x14ac:dyDescent="0.3">
      <c r="A17" s="2"/>
      <c r="B17" s="2"/>
      <c r="C17" s="2"/>
      <c r="D17" s="2"/>
      <c r="E17" s="2"/>
      <c r="F17" s="2"/>
      <c r="G17" s="2"/>
      <c r="H17" s="2"/>
      <c r="I17" s="2"/>
      <c r="J17" s="2"/>
      <c r="K17" s="2"/>
      <c r="L17" s="2"/>
      <c r="M17" s="2"/>
      <c r="N17" s="2"/>
      <c r="O17" s="2"/>
      <c r="P17" s="2"/>
      <c r="Q17" s="2"/>
      <c r="R17" s="2"/>
      <c r="S17" s="2"/>
      <c r="T17" s="2"/>
      <c r="U17" s="2"/>
      <c r="V17" s="2"/>
    </row>
    <row r="18" spans="1:22" x14ac:dyDescent="0.3">
      <c r="A18" s="2"/>
      <c r="B18" s="2"/>
      <c r="C18" s="2"/>
      <c r="D18" s="2"/>
      <c r="E18" s="2"/>
      <c r="F18" s="2"/>
      <c r="G18" s="2"/>
      <c r="H18" s="2"/>
      <c r="I18" s="2"/>
      <c r="J18" s="2"/>
      <c r="K18" s="2"/>
      <c r="L18" s="2"/>
      <c r="M18" s="2"/>
      <c r="N18" s="2"/>
      <c r="O18" s="2"/>
      <c r="P18" s="2"/>
      <c r="Q18" s="2"/>
      <c r="R18" s="2"/>
      <c r="S18" s="2"/>
      <c r="T18" s="2"/>
      <c r="U18" s="2"/>
      <c r="V18" s="2"/>
    </row>
    <row r="19" spans="1:22" x14ac:dyDescent="0.3">
      <c r="A19" s="2"/>
      <c r="B19" s="2"/>
      <c r="C19" s="2"/>
      <c r="D19" s="2"/>
      <c r="E19" s="2"/>
      <c r="F19" s="2"/>
      <c r="G19" s="2"/>
      <c r="H19" s="2"/>
      <c r="I19" s="2"/>
      <c r="J19" s="2"/>
      <c r="K19" s="2"/>
      <c r="L19" s="2"/>
      <c r="M19" s="2"/>
      <c r="N19" s="2"/>
      <c r="O19" s="2"/>
      <c r="P19" s="2"/>
      <c r="Q19" s="2"/>
      <c r="R19" s="2"/>
      <c r="S19" s="2"/>
      <c r="T19" s="2"/>
      <c r="U19" s="2"/>
      <c r="V19" s="2"/>
    </row>
    <row r="20" spans="1:22" x14ac:dyDescent="0.3">
      <c r="A20" s="2"/>
      <c r="B20" s="2"/>
      <c r="C20" s="2"/>
      <c r="D20" s="2"/>
      <c r="E20" s="2"/>
      <c r="F20" s="2"/>
      <c r="G20" s="2"/>
      <c r="H20" s="2"/>
      <c r="I20" s="2"/>
      <c r="J20" s="2"/>
      <c r="K20" s="2"/>
      <c r="L20" s="2"/>
      <c r="M20" s="2"/>
      <c r="N20" s="2"/>
      <c r="O20" s="2"/>
      <c r="P20" s="2"/>
      <c r="Q20" s="2"/>
      <c r="R20" s="2"/>
      <c r="S20" s="2"/>
      <c r="T20" s="2"/>
      <c r="U20" s="2"/>
      <c r="V20" s="2"/>
    </row>
    <row r="21" spans="1:22" x14ac:dyDescent="0.3">
      <c r="A21" s="2"/>
      <c r="B21" s="2"/>
      <c r="C21" s="2"/>
      <c r="D21" s="2"/>
      <c r="E21" s="2"/>
      <c r="F21" s="2"/>
      <c r="G21" s="2"/>
      <c r="H21" s="2"/>
      <c r="I21" s="2"/>
      <c r="J21" s="2"/>
      <c r="K21" s="2"/>
      <c r="L21" s="2"/>
      <c r="M21" s="2"/>
      <c r="N21" s="2"/>
      <c r="O21" s="2"/>
      <c r="P21" s="2"/>
      <c r="Q21" s="2"/>
      <c r="R21" s="2"/>
      <c r="S21" s="2"/>
      <c r="T21" s="2"/>
      <c r="U21" s="2"/>
      <c r="V21" s="2"/>
    </row>
    <row r="22" spans="1:22" x14ac:dyDescent="0.3">
      <c r="A22" s="2"/>
      <c r="B22" s="2"/>
      <c r="C22" s="2"/>
      <c r="D22" s="2"/>
      <c r="E22" s="2"/>
      <c r="F22" s="2"/>
      <c r="G22" s="2"/>
      <c r="H22" s="2"/>
      <c r="I22" s="2"/>
      <c r="J22" s="2"/>
      <c r="K22" s="2"/>
      <c r="L22" s="2"/>
      <c r="M22" s="2"/>
      <c r="N22" s="2"/>
      <c r="O22" s="2"/>
      <c r="P22" s="2"/>
      <c r="Q22" s="2"/>
      <c r="R22" s="2"/>
      <c r="S22" s="2"/>
      <c r="T22" s="2"/>
      <c r="U22" s="2"/>
      <c r="V22" s="2"/>
    </row>
    <row r="23" spans="1:22" x14ac:dyDescent="0.3">
      <c r="A23" s="2"/>
      <c r="B23" s="2"/>
      <c r="C23" s="2"/>
      <c r="D23" s="2"/>
      <c r="E23" s="2"/>
      <c r="F23" s="2"/>
      <c r="G23" s="2"/>
      <c r="H23" s="2"/>
      <c r="I23" s="2"/>
      <c r="J23" s="2"/>
      <c r="K23" s="2"/>
      <c r="L23" s="2"/>
      <c r="M23" s="2"/>
      <c r="N23" s="2"/>
      <c r="O23" s="2"/>
      <c r="P23" s="2"/>
      <c r="Q23" s="2"/>
      <c r="R23" s="2"/>
      <c r="S23" s="2"/>
      <c r="T23" s="2"/>
      <c r="U23" s="2"/>
      <c r="V23" s="2"/>
    </row>
    <row r="24" spans="1:22" x14ac:dyDescent="0.3">
      <c r="A24" s="2"/>
      <c r="B24" s="2"/>
      <c r="C24" s="2"/>
      <c r="D24" s="2"/>
      <c r="E24" s="2"/>
      <c r="F24" s="2"/>
      <c r="G24" s="2"/>
      <c r="H24" s="2"/>
      <c r="I24" s="2"/>
      <c r="J24" s="2"/>
      <c r="K24" s="2"/>
      <c r="L24" s="2"/>
      <c r="M24" s="2"/>
      <c r="N24" s="2"/>
      <c r="O24" s="2"/>
      <c r="P24" s="2"/>
      <c r="Q24" s="2"/>
      <c r="R24" s="2"/>
      <c r="S24" s="2"/>
      <c r="T24" s="2"/>
      <c r="U24" s="2"/>
      <c r="V24" s="2"/>
    </row>
    <row r="25" spans="1:22" x14ac:dyDescent="0.3">
      <c r="A25" s="2"/>
      <c r="B25" s="2"/>
      <c r="C25" s="2"/>
      <c r="D25" s="2"/>
      <c r="E25" s="2"/>
      <c r="F25" s="2"/>
      <c r="G25" s="2"/>
      <c r="H25" s="2"/>
      <c r="I25" s="2"/>
      <c r="J25" s="2"/>
      <c r="K25" s="2"/>
      <c r="L25" s="2"/>
      <c r="M25" s="2"/>
      <c r="N25" s="2"/>
      <c r="O25" s="2"/>
      <c r="P25" s="2"/>
      <c r="Q25" s="2"/>
      <c r="R25" s="2"/>
      <c r="S25" s="2"/>
      <c r="T25" s="2"/>
      <c r="U25" s="2"/>
      <c r="V25" s="2"/>
    </row>
    <row r="26" spans="1:22" x14ac:dyDescent="0.3">
      <c r="A26" s="2"/>
      <c r="B26" s="2"/>
      <c r="C26" s="2"/>
      <c r="D26" s="2"/>
      <c r="E26" s="2"/>
      <c r="F26" s="2"/>
      <c r="G26" s="2"/>
      <c r="H26" s="2"/>
      <c r="I26" s="2"/>
      <c r="J26" s="2"/>
      <c r="K26" s="2"/>
      <c r="L26" s="2"/>
      <c r="M26" s="2"/>
      <c r="N26" s="2"/>
      <c r="O26" s="2"/>
      <c r="P26" s="2"/>
      <c r="Q26" s="2"/>
      <c r="R26" s="2"/>
      <c r="S26" s="2"/>
      <c r="T26" s="2"/>
      <c r="U26" s="2"/>
      <c r="V26" s="2"/>
    </row>
    <row r="27" spans="1:22" x14ac:dyDescent="0.3">
      <c r="A27" s="2"/>
      <c r="B27" s="2"/>
      <c r="C27" s="2"/>
      <c r="D27" s="2"/>
      <c r="E27" s="2"/>
      <c r="F27" s="2"/>
      <c r="G27" s="2"/>
      <c r="H27" s="2"/>
      <c r="I27" s="2"/>
      <c r="J27" s="2"/>
      <c r="K27" s="2"/>
      <c r="L27" s="2"/>
      <c r="M27" s="2"/>
      <c r="N27" s="2"/>
      <c r="O27" s="2"/>
      <c r="P27" s="2"/>
      <c r="Q27" s="2"/>
      <c r="R27" s="2"/>
      <c r="S27" s="2"/>
      <c r="T27" s="2"/>
      <c r="U27" s="2"/>
      <c r="V27" s="2"/>
    </row>
    <row r="28" spans="1:22" x14ac:dyDescent="0.3">
      <c r="A28" s="2"/>
      <c r="B28" s="2"/>
      <c r="C28" s="2"/>
      <c r="D28" s="2"/>
      <c r="E28" s="2"/>
      <c r="F28" s="2"/>
      <c r="G28" s="2"/>
      <c r="H28" s="2"/>
      <c r="I28" s="2"/>
      <c r="J28" s="2"/>
      <c r="K28" s="2"/>
      <c r="L28" s="2"/>
      <c r="M28" s="2"/>
      <c r="N28" s="2"/>
      <c r="O28" s="2"/>
      <c r="P28" s="2"/>
      <c r="Q28" s="2"/>
      <c r="R28" s="2"/>
      <c r="S28" s="2"/>
      <c r="T28" s="2"/>
      <c r="U28" s="2"/>
      <c r="V28" s="2"/>
    </row>
    <row r="29" spans="1:22" x14ac:dyDescent="0.3">
      <c r="A29" s="2"/>
      <c r="B29" s="2"/>
      <c r="C29" s="2"/>
      <c r="D29" s="2"/>
      <c r="E29" s="2"/>
      <c r="F29" s="2"/>
      <c r="G29" s="2"/>
      <c r="H29" s="2"/>
      <c r="I29" s="2"/>
      <c r="J29" s="2"/>
      <c r="K29" s="2"/>
      <c r="L29" s="2"/>
      <c r="M29" s="2"/>
      <c r="N29" s="2"/>
      <c r="O29" s="2"/>
      <c r="P29" s="2"/>
      <c r="Q29" s="2"/>
      <c r="R29" s="2"/>
      <c r="S29" s="2"/>
      <c r="T29" s="2"/>
      <c r="U29" s="2"/>
      <c r="V29" s="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564BE-E9CF-4E87-A83A-FFC745D106ED}">
  <dimension ref="A1:T21"/>
  <sheetViews>
    <sheetView workbookViewId="0"/>
  </sheetViews>
  <sheetFormatPr defaultRowHeight="14.4" x14ac:dyDescent="0.3"/>
  <sheetData>
    <row r="1" spans="1:20" x14ac:dyDescent="0.3">
      <c r="A1" s="2"/>
      <c r="B1" s="2"/>
      <c r="C1" s="2"/>
      <c r="D1" s="2"/>
      <c r="E1" s="2"/>
      <c r="F1" s="2"/>
      <c r="G1" s="2"/>
      <c r="H1" s="2"/>
      <c r="I1" s="2"/>
      <c r="J1" s="2"/>
      <c r="K1" s="2"/>
      <c r="L1" s="2"/>
      <c r="M1" s="2"/>
      <c r="N1" s="2"/>
      <c r="O1" s="2"/>
      <c r="P1" s="2"/>
      <c r="Q1" s="2"/>
      <c r="R1" s="2"/>
      <c r="S1" s="2"/>
      <c r="T1" s="2"/>
    </row>
    <row r="2" spans="1:20" x14ac:dyDescent="0.3">
      <c r="A2" s="2"/>
      <c r="B2" s="2"/>
      <c r="C2" s="2"/>
      <c r="D2" s="2"/>
      <c r="E2" s="2"/>
      <c r="F2" s="2"/>
      <c r="G2" s="2"/>
      <c r="H2" s="2"/>
      <c r="I2" s="2"/>
      <c r="J2" s="2"/>
      <c r="K2" s="2"/>
      <c r="L2" s="2"/>
      <c r="M2" s="2"/>
      <c r="N2" s="2"/>
      <c r="O2" s="2"/>
      <c r="P2" s="2"/>
      <c r="Q2" s="2"/>
      <c r="R2" s="2"/>
      <c r="S2" s="2"/>
      <c r="T2" s="2"/>
    </row>
    <row r="3" spans="1:20" x14ac:dyDescent="0.3">
      <c r="A3" s="2"/>
      <c r="B3" s="2"/>
      <c r="C3" s="2"/>
      <c r="D3" s="2"/>
      <c r="E3" s="2"/>
      <c r="F3" s="2"/>
      <c r="G3" s="2"/>
      <c r="H3" s="2"/>
      <c r="I3" s="2"/>
      <c r="J3" s="2"/>
      <c r="K3" s="2"/>
      <c r="L3" s="2"/>
      <c r="M3" s="2"/>
      <c r="N3" s="2"/>
      <c r="O3" s="2"/>
      <c r="P3" s="2"/>
      <c r="Q3" s="2"/>
      <c r="R3" s="2"/>
      <c r="S3" s="2"/>
      <c r="T3" s="2"/>
    </row>
    <row r="4" spans="1:20" x14ac:dyDescent="0.3">
      <c r="A4" s="2"/>
      <c r="B4" s="2"/>
      <c r="C4" s="2"/>
      <c r="D4" s="2"/>
      <c r="E4" s="2"/>
      <c r="F4" s="2"/>
      <c r="G4" s="2"/>
      <c r="H4" s="2"/>
      <c r="I4" s="2"/>
      <c r="J4" s="2"/>
      <c r="K4" s="2"/>
      <c r="L4" s="2"/>
      <c r="M4" s="2"/>
      <c r="N4" s="2"/>
      <c r="O4" s="2"/>
      <c r="P4" s="2"/>
      <c r="Q4" s="2"/>
      <c r="R4" s="2"/>
      <c r="S4" s="2"/>
      <c r="T4" s="2"/>
    </row>
    <row r="5" spans="1:20" x14ac:dyDescent="0.3">
      <c r="A5" s="2"/>
      <c r="B5" s="2"/>
      <c r="C5" s="2"/>
      <c r="D5" s="2"/>
      <c r="E5" s="2"/>
      <c r="F5" s="2"/>
      <c r="G5" s="2"/>
      <c r="H5" s="2"/>
      <c r="I5" s="2"/>
      <c r="J5" s="2"/>
      <c r="K5" s="2"/>
      <c r="L5" s="2"/>
      <c r="M5" s="2"/>
      <c r="N5" s="2"/>
      <c r="O5" s="2"/>
      <c r="P5" s="2"/>
      <c r="Q5" s="2"/>
      <c r="R5" s="2"/>
      <c r="S5" s="2"/>
      <c r="T5" s="2"/>
    </row>
    <row r="6" spans="1:20" x14ac:dyDescent="0.3">
      <c r="A6" s="2"/>
      <c r="B6" s="2"/>
      <c r="C6" s="2"/>
      <c r="D6" s="2"/>
      <c r="E6" s="2"/>
      <c r="F6" s="2"/>
      <c r="G6" s="2"/>
      <c r="H6" s="2"/>
      <c r="I6" s="2"/>
      <c r="J6" s="2"/>
      <c r="K6" s="2"/>
      <c r="L6" s="2"/>
      <c r="M6" s="2"/>
      <c r="N6" s="2"/>
      <c r="O6" s="2"/>
      <c r="P6" s="2"/>
      <c r="Q6" s="2"/>
      <c r="R6" s="2"/>
      <c r="S6" s="2"/>
      <c r="T6" s="2"/>
    </row>
    <row r="7" spans="1:20" x14ac:dyDescent="0.3">
      <c r="A7" s="2"/>
      <c r="B7" s="2"/>
      <c r="C7" s="2"/>
      <c r="D7" s="2"/>
      <c r="E7" s="2"/>
      <c r="F7" s="2"/>
      <c r="G7" s="2"/>
      <c r="H7" s="2"/>
      <c r="I7" s="2"/>
      <c r="J7" s="2"/>
      <c r="K7" s="2"/>
      <c r="L7" s="2"/>
      <c r="M7" s="2"/>
      <c r="N7" s="2"/>
      <c r="O7" s="2"/>
      <c r="P7" s="2"/>
      <c r="Q7" s="2"/>
      <c r="R7" s="2"/>
      <c r="S7" s="2"/>
      <c r="T7" s="2"/>
    </row>
    <row r="8" spans="1:20" x14ac:dyDescent="0.3">
      <c r="A8" s="2"/>
      <c r="B8" s="2"/>
      <c r="C8" s="2"/>
      <c r="D8" s="2"/>
      <c r="E8" s="2"/>
      <c r="F8" s="2"/>
      <c r="G8" s="2"/>
      <c r="H8" s="2"/>
      <c r="I8" s="2"/>
      <c r="J8" s="2"/>
      <c r="K8" s="2"/>
      <c r="L8" s="2"/>
      <c r="M8" s="2"/>
      <c r="N8" s="2"/>
      <c r="O8" s="2"/>
      <c r="P8" s="2"/>
      <c r="Q8" s="2"/>
      <c r="R8" s="2"/>
      <c r="S8" s="2"/>
      <c r="T8" s="2"/>
    </row>
    <row r="9" spans="1:20" x14ac:dyDescent="0.3">
      <c r="A9" s="2"/>
      <c r="B9" s="2"/>
      <c r="C9" s="2"/>
      <c r="D9" s="2"/>
      <c r="E9" s="2"/>
      <c r="F9" s="2"/>
      <c r="G9" s="2"/>
      <c r="H9" s="2"/>
      <c r="I9" s="2"/>
      <c r="J9" s="2"/>
      <c r="K9" s="2"/>
      <c r="L9" s="2"/>
      <c r="M9" s="2"/>
      <c r="N9" s="2"/>
      <c r="O9" s="2"/>
      <c r="P9" s="2"/>
      <c r="Q9" s="2"/>
      <c r="R9" s="2"/>
      <c r="S9" s="2"/>
      <c r="T9" s="2"/>
    </row>
    <row r="10" spans="1:20" x14ac:dyDescent="0.3">
      <c r="A10" s="2"/>
      <c r="B10" s="2"/>
      <c r="C10" s="2"/>
      <c r="D10" s="2"/>
      <c r="E10" s="2"/>
      <c r="F10" s="2"/>
      <c r="G10" s="2"/>
      <c r="H10" s="2"/>
      <c r="I10" s="2"/>
      <c r="J10" s="2"/>
      <c r="K10" s="2"/>
      <c r="L10" s="2"/>
      <c r="M10" s="2"/>
      <c r="N10" s="2"/>
      <c r="O10" s="2"/>
      <c r="P10" s="2"/>
      <c r="Q10" s="2"/>
      <c r="R10" s="2"/>
      <c r="S10" s="2"/>
      <c r="T10" s="2"/>
    </row>
    <row r="11" spans="1:20" x14ac:dyDescent="0.3">
      <c r="A11" s="2"/>
      <c r="B11" s="2"/>
      <c r="C11" s="2"/>
      <c r="D11" s="2"/>
      <c r="E11" s="2"/>
      <c r="F11" s="2"/>
      <c r="G11" s="2"/>
      <c r="H11" s="2"/>
      <c r="I11" s="2"/>
      <c r="J11" s="2"/>
      <c r="K11" s="2"/>
      <c r="L11" s="2"/>
      <c r="M11" s="2"/>
      <c r="N11" s="2"/>
      <c r="O11" s="2"/>
      <c r="P11" s="2"/>
      <c r="Q11" s="2"/>
      <c r="R11" s="2"/>
      <c r="S11" s="2"/>
      <c r="T11" s="2"/>
    </row>
    <row r="12" spans="1:20" x14ac:dyDescent="0.3">
      <c r="A12" s="2"/>
      <c r="B12" s="2"/>
      <c r="C12" s="2"/>
      <c r="D12" s="2"/>
      <c r="E12" s="2"/>
      <c r="F12" s="2"/>
      <c r="G12" s="2"/>
      <c r="H12" s="2"/>
      <c r="I12" s="2"/>
      <c r="J12" s="2"/>
      <c r="K12" s="2"/>
      <c r="L12" s="2"/>
      <c r="M12" s="2"/>
      <c r="N12" s="2"/>
      <c r="O12" s="2"/>
      <c r="P12" s="2"/>
      <c r="Q12" s="2"/>
      <c r="R12" s="2"/>
      <c r="S12" s="2"/>
      <c r="T12" s="2"/>
    </row>
    <row r="13" spans="1:20" x14ac:dyDescent="0.3">
      <c r="A13" s="2"/>
      <c r="B13" s="2"/>
      <c r="C13" s="2"/>
      <c r="D13" s="2"/>
      <c r="E13" s="2"/>
      <c r="F13" s="2"/>
      <c r="G13" s="2"/>
      <c r="H13" s="2"/>
      <c r="I13" s="2"/>
      <c r="J13" s="2"/>
      <c r="K13" s="2"/>
      <c r="L13" s="2"/>
      <c r="M13" s="2"/>
      <c r="N13" s="2"/>
      <c r="O13" s="2"/>
      <c r="P13" s="2"/>
      <c r="Q13" s="2"/>
      <c r="R13" s="2"/>
      <c r="S13" s="2"/>
      <c r="T13" s="2"/>
    </row>
    <row r="14" spans="1:20" x14ac:dyDescent="0.3">
      <c r="A14" s="2"/>
      <c r="B14" s="2"/>
      <c r="C14" s="2"/>
      <c r="D14" s="2"/>
      <c r="E14" s="2"/>
      <c r="F14" s="2"/>
      <c r="G14" s="2"/>
      <c r="H14" s="2"/>
      <c r="I14" s="2"/>
      <c r="J14" s="2"/>
      <c r="K14" s="2"/>
      <c r="L14" s="2"/>
      <c r="M14" s="2"/>
      <c r="N14" s="2"/>
      <c r="O14" s="2"/>
      <c r="P14" s="2"/>
      <c r="Q14" s="2"/>
      <c r="R14" s="2"/>
      <c r="S14" s="2"/>
      <c r="T14" s="2"/>
    </row>
    <row r="15" spans="1:20" x14ac:dyDescent="0.3">
      <c r="A15" s="2"/>
      <c r="B15" s="2"/>
      <c r="C15" s="2"/>
      <c r="D15" s="2"/>
      <c r="E15" s="2"/>
      <c r="F15" s="2"/>
      <c r="G15" s="2"/>
      <c r="H15" s="2"/>
      <c r="I15" s="2"/>
      <c r="J15" s="2"/>
      <c r="K15" s="2"/>
      <c r="L15" s="2"/>
      <c r="M15" s="2"/>
      <c r="N15" s="2"/>
      <c r="O15" s="2"/>
      <c r="P15" s="2"/>
      <c r="Q15" s="2"/>
      <c r="R15" s="2"/>
      <c r="S15" s="2"/>
      <c r="T15" s="2"/>
    </row>
    <row r="16" spans="1:20" x14ac:dyDescent="0.3">
      <c r="A16" s="2"/>
      <c r="B16" s="2"/>
      <c r="C16" s="2"/>
      <c r="D16" s="2"/>
      <c r="E16" s="2"/>
      <c r="F16" s="2"/>
      <c r="G16" s="2"/>
      <c r="H16" s="2"/>
      <c r="I16" s="2"/>
      <c r="J16" s="2"/>
      <c r="K16" s="2"/>
      <c r="L16" s="2"/>
      <c r="M16" s="2"/>
      <c r="N16" s="2"/>
      <c r="O16" s="2"/>
      <c r="P16" s="2"/>
      <c r="Q16" s="2"/>
      <c r="R16" s="2"/>
      <c r="S16" s="2"/>
      <c r="T16" s="2"/>
    </row>
    <row r="17" spans="1:20" x14ac:dyDescent="0.3">
      <c r="A17" s="2"/>
      <c r="B17" s="2"/>
      <c r="C17" s="2"/>
      <c r="D17" s="2"/>
      <c r="E17" s="2"/>
      <c r="F17" s="2"/>
      <c r="G17" s="2"/>
      <c r="H17" s="2"/>
      <c r="I17" s="2"/>
      <c r="J17" s="2"/>
      <c r="K17" s="2"/>
      <c r="L17" s="2"/>
      <c r="M17" s="2"/>
      <c r="N17" s="2"/>
      <c r="O17" s="2"/>
      <c r="P17" s="2"/>
      <c r="Q17" s="2"/>
      <c r="R17" s="2"/>
      <c r="S17" s="2"/>
      <c r="T17" s="2"/>
    </row>
    <row r="18" spans="1:20" x14ac:dyDescent="0.3">
      <c r="A18" s="2"/>
      <c r="B18" s="2"/>
      <c r="C18" s="2"/>
      <c r="D18" s="2"/>
      <c r="E18" s="2"/>
      <c r="F18" s="2"/>
      <c r="G18" s="2"/>
      <c r="H18" s="2"/>
      <c r="I18" s="2"/>
      <c r="J18" s="2"/>
      <c r="K18" s="2"/>
      <c r="L18" s="2"/>
      <c r="M18" s="2"/>
      <c r="N18" s="2"/>
      <c r="O18" s="2"/>
      <c r="P18" s="2"/>
      <c r="Q18" s="2"/>
      <c r="R18" s="2"/>
      <c r="S18" s="2"/>
      <c r="T18" s="2"/>
    </row>
    <row r="19" spans="1:20" x14ac:dyDescent="0.3">
      <c r="A19" s="2"/>
      <c r="B19" s="2"/>
      <c r="C19" s="2"/>
      <c r="D19" s="2"/>
      <c r="E19" s="2"/>
      <c r="F19" s="2"/>
      <c r="G19" s="2"/>
      <c r="H19" s="2"/>
      <c r="I19" s="2"/>
      <c r="J19" s="2"/>
      <c r="K19" s="2"/>
      <c r="L19" s="2"/>
      <c r="M19" s="2"/>
      <c r="N19" s="2"/>
      <c r="O19" s="2"/>
      <c r="P19" s="2"/>
      <c r="Q19" s="2"/>
      <c r="R19" s="2"/>
      <c r="S19" s="2"/>
      <c r="T19" s="2"/>
    </row>
    <row r="20" spans="1:20" x14ac:dyDescent="0.3">
      <c r="A20" s="2"/>
      <c r="B20" s="2"/>
      <c r="C20" s="2"/>
      <c r="D20" s="2"/>
      <c r="E20" s="2"/>
      <c r="F20" s="2"/>
      <c r="G20" s="2"/>
      <c r="H20" s="2"/>
      <c r="I20" s="2"/>
      <c r="J20" s="2"/>
      <c r="K20" s="2"/>
      <c r="L20" s="2"/>
      <c r="M20" s="2"/>
      <c r="N20" s="2"/>
      <c r="O20" s="2"/>
      <c r="P20" s="2"/>
      <c r="Q20" s="2"/>
      <c r="R20" s="2"/>
      <c r="S20" s="2"/>
      <c r="T20" s="2"/>
    </row>
    <row r="21" spans="1:20" x14ac:dyDescent="0.3">
      <c r="A21" s="2"/>
      <c r="B21" s="2"/>
      <c r="C21" s="2"/>
      <c r="D21" s="2"/>
      <c r="E21" s="2"/>
      <c r="F21" s="2"/>
      <c r="G21" s="2"/>
      <c r="H21" s="2"/>
      <c r="I21" s="2"/>
      <c r="J21" s="2"/>
      <c r="K21" s="2"/>
      <c r="L21" s="2"/>
      <c r="M21" s="2"/>
      <c r="N21" s="2"/>
      <c r="O21" s="2"/>
      <c r="P21" s="2"/>
      <c r="Q21" s="2"/>
      <c r="R21" s="2"/>
      <c r="S21" s="2"/>
      <c r="T21" s="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FBCA3-A3BB-43A4-BD47-6D8D9F083A7B}">
  <dimension ref="A1:AO33"/>
  <sheetViews>
    <sheetView zoomScale="85" zoomScaleNormal="85" workbookViewId="0"/>
  </sheetViews>
  <sheetFormatPr defaultRowHeight="14.4" x14ac:dyDescent="0.3"/>
  <sheetData>
    <row r="1" spans="1:41"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8"/>
      <c r="AF1" s="8"/>
      <c r="AG1" s="8"/>
      <c r="AH1" s="8"/>
      <c r="AI1" s="8"/>
      <c r="AJ1" s="8"/>
      <c r="AK1" s="8"/>
      <c r="AL1" s="8"/>
      <c r="AM1" s="8"/>
      <c r="AN1" s="8"/>
      <c r="AO1" s="8"/>
    </row>
    <row r="2" spans="1:41"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8"/>
      <c r="AF2" s="8"/>
      <c r="AG2" s="8"/>
      <c r="AH2" s="8"/>
      <c r="AI2" s="8"/>
      <c r="AJ2" s="8"/>
      <c r="AK2" s="8"/>
      <c r="AL2" s="8"/>
      <c r="AM2" s="8"/>
      <c r="AN2" s="8"/>
      <c r="AO2" s="8"/>
    </row>
    <row r="3" spans="1:41"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8"/>
      <c r="AF3" s="8"/>
      <c r="AG3" s="8"/>
      <c r="AH3" s="8"/>
      <c r="AI3" s="8"/>
      <c r="AJ3" s="8"/>
      <c r="AK3" s="8"/>
      <c r="AL3" s="8"/>
      <c r="AM3" s="8"/>
      <c r="AN3" s="8"/>
      <c r="AO3" s="8"/>
    </row>
    <row r="4" spans="1:41"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8"/>
      <c r="AF4" s="8"/>
      <c r="AG4" s="8"/>
      <c r="AH4" s="8"/>
      <c r="AI4" s="8"/>
      <c r="AJ4" s="8"/>
      <c r="AK4" s="8"/>
      <c r="AL4" s="8"/>
      <c r="AM4" s="8"/>
      <c r="AN4" s="8"/>
      <c r="AO4" s="8"/>
    </row>
    <row r="5" spans="1:41"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8"/>
      <c r="AF5" s="8"/>
      <c r="AG5" s="8"/>
      <c r="AH5" s="8"/>
      <c r="AI5" s="8"/>
      <c r="AJ5" s="8"/>
      <c r="AK5" s="8"/>
      <c r="AL5" s="8"/>
      <c r="AM5" s="8"/>
      <c r="AN5" s="8"/>
      <c r="AO5" s="8"/>
    </row>
    <row r="6" spans="1:41"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8"/>
      <c r="AF6" s="8"/>
      <c r="AG6" s="8"/>
      <c r="AH6" s="8"/>
      <c r="AI6" s="8"/>
      <c r="AJ6" s="8"/>
      <c r="AK6" s="8"/>
      <c r="AL6" s="8"/>
      <c r="AM6" s="8"/>
      <c r="AN6" s="8"/>
      <c r="AO6" s="8"/>
    </row>
    <row r="7" spans="1:4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8"/>
      <c r="AF7" s="8"/>
      <c r="AG7" s="8"/>
      <c r="AH7" s="8"/>
      <c r="AI7" s="8"/>
      <c r="AJ7" s="8"/>
      <c r="AK7" s="8"/>
      <c r="AL7" s="8"/>
      <c r="AM7" s="8"/>
      <c r="AN7" s="8"/>
      <c r="AO7" s="8"/>
    </row>
    <row r="8" spans="1:4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8"/>
      <c r="AF8" s="8"/>
      <c r="AG8" s="8"/>
      <c r="AH8" s="8"/>
      <c r="AI8" s="8"/>
      <c r="AJ8" s="8"/>
      <c r="AK8" s="8"/>
      <c r="AL8" s="8"/>
      <c r="AM8" s="8"/>
      <c r="AN8" s="8"/>
      <c r="AO8" s="8"/>
    </row>
    <row r="9" spans="1:4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8"/>
      <c r="AF9" s="8"/>
      <c r="AG9" s="8"/>
      <c r="AH9" s="8"/>
      <c r="AI9" s="8"/>
      <c r="AJ9" s="8"/>
      <c r="AK9" s="8"/>
      <c r="AL9" s="8"/>
      <c r="AM9" s="8"/>
      <c r="AN9" s="8"/>
      <c r="AO9" s="8"/>
    </row>
    <row r="10" spans="1:4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8"/>
      <c r="AF10" s="8"/>
      <c r="AG10" s="8"/>
      <c r="AH10" s="8"/>
      <c r="AI10" s="8"/>
      <c r="AJ10" s="8"/>
      <c r="AK10" s="8"/>
      <c r="AL10" s="8"/>
      <c r="AM10" s="8"/>
      <c r="AN10" s="8"/>
      <c r="AO10" s="8"/>
    </row>
    <row r="11" spans="1:4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8"/>
      <c r="AF11" s="8"/>
      <c r="AG11" s="8"/>
      <c r="AH11" s="8"/>
      <c r="AI11" s="8"/>
      <c r="AJ11" s="8"/>
      <c r="AK11" s="8"/>
      <c r="AL11" s="8"/>
      <c r="AM11" s="8"/>
      <c r="AN11" s="8"/>
      <c r="AO11" s="8"/>
    </row>
    <row r="12" spans="1:4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8"/>
      <c r="AF12" s="8"/>
      <c r="AG12" s="8"/>
      <c r="AH12" s="8"/>
      <c r="AI12" s="8"/>
      <c r="AJ12" s="8"/>
      <c r="AK12" s="8"/>
      <c r="AL12" s="8"/>
      <c r="AM12" s="8"/>
      <c r="AN12" s="8"/>
      <c r="AO12" s="8"/>
    </row>
    <row r="13" spans="1:4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8"/>
      <c r="AF13" s="8"/>
      <c r="AG13" s="8"/>
      <c r="AH13" s="8"/>
      <c r="AI13" s="8"/>
      <c r="AJ13" s="8"/>
      <c r="AK13" s="8"/>
      <c r="AL13" s="8"/>
      <c r="AM13" s="8"/>
      <c r="AN13" s="8"/>
      <c r="AO13" s="8"/>
    </row>
    <row r="14" spans="1:4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8"/>
      <c r="AF14" s="8"/>
      <c r="AG14" s="8"/>
      <c r="AH14" s="8"/>
      <c r="AI14" s="8"/>
      <c r="AJ14" s="8"/>
      <c r="AK14" s="8"/>
      <c r="AL14" s="8"/>
      <c r="AM14" s="8"/>
      <c r="AN14" s="8"/>
      <c r="AO14" s="8"/>
    </row>
    <row r="15" spans="1:4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8"/>
      <c r="AF15" s="8"/>
      <c r="AG15" s="8"/>
      <c r="AH15" s="8"/>
      <c r="AI15" s="8"/>
      <c r="AJ15" s="8"/>
      <c r="AK15" s="8"/>
      <c r="AL15" s="8"/>
      <c r="AM15" s="8"/>
      <c r="AN15" s="8"/>
      <c r="AO15" s="8"/>
    </row>
    <row r="16" spans="1:4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8"/>
      <c r="AF16" s="8"/>
      <c r="AG16" s="8"/>
      <c r="AH16" s="8"/>
      <c r="AI16" s="8"/>
      <c r="AJ16" s="8"/>
      <c r="AK16" s="8"/>
      <c r="AL16" s="8"/>
      <c r="AM16" s="8"/>
      <c r="AN16" s="8"/>
      <c r="AO16" s="8"/>
    </row>
    <row r="17" spans="1:4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8"/>
      <c r="AF17" s="8"/>
      <c r="AG17" s="8"/>
      <c r="AH17" s="8"/>
      <c r="AI17" s="8"/>
      <c r="AJ17" s="8"/>
      <c r="AK17" s="8"/>
      <c r="AL17" s="8"/>
      <c r="AM17" s="8"/>
      <c r="AN17" s="8"/>
      <c r="AO17" s="8"/>
    </row>
    <row r="18" spans="1:4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8"/>
      <c r="AF18" s="8"/>
      <c r="AG18" s="8"/>
      <c r="AH18" s="8"/>
      <c r="AI18" s="8"/>
      <c r="AJ18" s="8"/>
      <c r="AK18" s="8"/>
      <c r="AL18" s="8"/>
      <c r="AM18" s="8"/>
      <c r="AN18" s="8"/>
      <c r="AO18" s="8"/>
    </row>
    <row r="19" spans="1:4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8"/>
      <c r="AF19" s="8"/>
      <c r="AG19" s="8"/>
      <c r="AH19" s="8"/>
      <c r="AI19" s="8"/>
      <c r="AJ19" s="8"/>
      <c r="AK19" s="8"/>
      <c r="AL19" s="8"/>
      <c r="AM19" s="8"/>
      <c r="AN19" s="8"/>
      <c r="AO19" s="8"/>
    </row>
    <row r="20" spans="1:4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8"/>
      <c r="AF20" s="8"/>
      <c r="AG20" s="8"/>
      <c r="AH20" s="8"/>
      <c r="AI20" s="8"/>
      <c r="AJ20" s="8"/>
      <c r="AK20" s="8"/>
      <c r="AL20" s="8"/>
      <c r="AM20" s="8"/>
      <c r="AN20" s="8"/>
      <c r="AO20" s="8"/>
    </row>
    <row r="21" spans="1:4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8"/>
      <c r="AF21" s="8"/>
      <c r="AG21" s="8"/>
      <c r="AH21" s="8"/>
      <c r="AI21" s="8"/>
      <c r="AJ21" s="8"/>
      <c r="AK21" s="8"/>
      <c r="AL21" s="8"/>
      <c r="AM21" s="8"/>
      <c r="AN21" s="8"/>
      <c r="AO21" s="8"/>
    </row>
    <row r="22" spans="1:4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8"/>
      <c r="AF22" s="8"/>
      <c r="AG22" s="8"/>
      <c r="AH22" s="8"/>
      <c r="AI22" s="8"/>
      <c r="AJ22" s="8"/>
      <c r="AK22" s="8"/>
      <c r="AL22" s="8"/>
      <c r="AM22" s="8"/>
      <c r="AN22" s="8"/>
      <c r="AO22" s="8"/>
    </row>
    <row r="23" spans="1:4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8"/>
      <c r="AF23" s="8"/>
      <c r="AG23" s="8"/>
      <c r="AH23" s="8"/>
      <c r="AI23" s="8"/>
      <c r="AJ23" s="8"/>
      <c r="AK23" s="8"/>
      <c r="AL23" s="8"/>
      <c r="AM23" s="8"/>
      <c r="AN23" s="8"/>
      <c r="AO23" s="8"/>
    </row>
    <row r="24" spans="1:4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8"/>
      <c r="AF24" s="8"/>
      <c r="AG24" s="8"/>
      <c r="AH24" s="8"/>
      <c r="AI24" s="8"/>
      <c r="AJ24" s="8"/>
      <c r="AK24" s="8"/>
      <c r="AL24" s="8"/>
      <c r="AM24" s="8"/>
      <c r="AN24" s="8"/>
      <c r="AO24" s="8"/>
    </row>
    <row r="25" spans="1:4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8"/>
      <c r="AF25" s="8"/>
      <c r="AG25" s="8"/>
      <c r="AH25" s="8"/>
      <c r="AI25" s="8"/>
      <c r="AJ25" s="8"/>
      <c r="AK25" s="8"/>
      <c r="AL25" s="8"/>
      <c r="AM25" s="8"/>
      <c r="AN25" s="8"/>
      <c r="AO25" s="8"/>
    </row>
    <row r="26" spans="1:4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8"/>
      <c r="AF26" s="8"/>
      <c r="AG26" s="8"/>
      <c r="AH26" s="8"/>
      <c r="AI26" s="8"/>
      <c r="AJ26" s="8"/>
      <c r="AK26" s="8"/>
      <c r="AL26" s="8"/>
      <c r="AM26" s="8"/>
      <c r="AN26" s="8"/>
      <c r="AO26" s="8"/>
    </row>
    <row r="27" spans="1:4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8"/>
      <c r="AF27" s="8"/>
      <c r="AG27" s="8"/>
      <c r="AH27" s="8"/>
      <c r="AI27" s="8"/>
      <c r="AJ27" s="8"/>
      <c r="AK27" s="8"/>
      <c r="AL27" s="8"/>
      <c r="AM27" s="8"/>
      <c r="AN27" s="8"/>
      <c r="AO27" s="8"/>
    </row>
    <row r="28" spans="1:4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8"/>
      <c r="AF28" s="8"/>
      <c r="AG28" s="8"/>
      <c r="AH28" s="8"/>
      <c r="AI28" s="8"/>
      <c r="AJ28" s="8"/>
      <c r="AK28" s="8"/>
      <c r="AL28" s="8"/>
      <c r="AM28" s="8"/>
      <c r="AN28" s="8"/>
      <c r="AO28" s="8"/>
    </row>
    <row r="29" spans="1:4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8"/>
      <c r="AF29" s="8"/>
      <c r="AG29" s="8"/>
      <c r="AH29" s="8"/>
      <c r="AI29" s="8"/>
      <c r="AJ29" s="8"/>
      <c r="AK29" s="8"/>
      <c r="AL29" s="8"/>
      <c r="AM29" s="8"/>
      <c r="AN29" s="8"/>
      <c r="AO29" s="8"/>
    </row>
    <row r="30" spans="1:4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row>
    <row r="31" spans="1:4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row>
    <row r="32" spans="1:4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row>
    <row r="33" spans="1:4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B2075BA-745A-4946-A5B5-7AACA85C1BCD}">
  <ds:schemaRefs/>
</ds:datastoreItem>
</file>

<file path=customXml/itemProps2.xml><?xml version="1.0" encoding="utf-8"?>
<ds:datastoreItem xmlns:ds="http://schemas.openxmlformats.org/officeDocument/2006/customXml" ds:itemID="{E9BF09B0-3F45-4FCF-8E52-8BBC6F07D35A}">
  <ds:schemaRefs/>
</ds:datastoreItem>
</file>

<file path=customXml/itemProps3.xml><?xml version="1.0" encoding="utf-8"?>
<ds:datastoreItem xmlns:ds="http://schemas.openxmlformats.org/officeDocument/2006/customXml" ds:itemID="{E78BE159-9027-4913-901C-8083A28D3831}">
  <ds:schemaRefs/>
</ds:datastoreItem>
</file>

<file path=customXml/itemProps4.xml><?xml version="1.0" encoding="utf-8"?>
<ds:datastoreItem xmlns:ds="http://schemas.openxmlformats.org/officeDocument/2006/customXml" ds:itemID="{4C32C087-FDD8-4B4A-84C3-269EC7C57FCA}">
  <ds:schemaRefs/>
</ds:datastoreItem>
</file>

<file path=customXml/itemProps5.xml><?xml version="1.0" encoding="utf-8"?>
<ds:datastoreItem xmlns:ds="http://schemas.openxmlformats.org/officeDocument/2006/customXml" ds:itemID="{D6F6BC1D-5359-4CFC-B38C-9CFE7482F404}">
  <ds:schemaRefs/>
</ds:datastoreItem>
</file>

<file path=customXml/itemProps6.xml><?xml version="1.0" encoding="utf-8"?>
<ds:datastoreItem xmlns:ds="http://schemas.openxmlformats.org/officeDocument/2006/customXml" ds:itemID="{4BD0A8F7-38FF-4213-A49B-0592B03DF388}">
  <ds:schemaRefs>
    <ds:schemaRef ds:uri="http://schemas.microsoft.com/DataMashup"/>
  </ds:schemaRefs>
</ds:datastoreItem>
</file>

<file path=customXml/itemProps7.xml><?xml version="1.0" encoding="utf-8"?>
<ds:datastoreItem xmlns:ds="http://schemas.openxmlformats.org/officeDocument/2006/customXml" ds:itemID="{8CD233D2-EE87-4952-86CE-4B694431C3E4}">
  <ds:schemaRefs/>
</ds:datastoreItem>
</file>

<file path=customXml/itemProps8.xml><?xml version="1.0" encoding="utf-8"?>
<ds:datastoreItem xmlns:ds="http://schemas.openxmlformats.org/officeDocument/2006/customXml" ds:itemID="{EC90903A-1998-49BD-8F5F-745600EC2741}">
  <ds:schemaRefs/>
</ds:datastoreItem>
</file>

<file path=customXml/itemProps9.xml><?xml version="1.0" encoding="utf-8"?>
<ds:datastoreItem xmlns:ds="http://schemas.openxmlformats.org/officeDocument/2006/customXml" ds:itemID="{ACE41CD3-BF49-47FD-B13A-1705255FAF6B}">
  <ds:schemaRefs/>
</ds:datastoreItem>
</file>

<file path=customXml/itemProps10.xml><?xml version="1.0" encoding="utf-8"?>
<ds:datastoreItem xmlns:ds="http://schemas.openxmlformats.org/officeDocument/2006/customXml" ds:itemID="{C938E621-42F9-4D90-9C35-08AAA90F75BE}">
  <ds:schemaRefs/>
</ds:datastoreItem>
</file>

<file path=customXml/itemProps11.xml><?xml version="1.0" encoding="utf-8"?>
<ds:datastoreItem xmlns:ds="http://schemas.openxmlformats.org/officeDocument/2006/customXml" ds:itemID="{29DC329F-6891-4775-A849-F14F74E59EC7}">
  <ds:schemaRefs/>
</ds:datastoreItem>
</file>

<file path=customXml/itemProps12.xml><?xml version="1.0" encoding="utf-8"?>
<ds:datastoreItem xmlns:ds="http://schemas.openxmlformats.org/officeDocument/2006/customXml" ds:itemID="{36CF5664-FCD8-492C-A762-A917E94FA595}">
  <ds:schemaRefs/>
</ds:datastoreItem>
</file>

<file path=customXml/itemProps13.xml><?xml version="1.0" encoding="utf-8"?>
<ds:datastoreItem xmlns:ds="http://schemas.openxmlformats.org/officeDocument/2006/customXml" ds:itemID="{DC5647B6-1E88-4B2F-B598-B96D3D990DE0}">
  <ds:schemaRefs/>
</ds:datastoreItem>
</file>

<file path=customXml/itemProps14.xml><?xml version="1.0" encoding="utf-8"?>
<ds:datastoreItem xmlns:ds="http://schemas.openxmlformats.org/officeDocument/2006/customXml" ds:itemID="{E6222A1B-9718-4885-9FEA-B88CC2656441}">
  <ds:schemaRefs/>
</ds:datastoreItem>
</file>

<file path=customXml/itemProps15.xml><?xml version="1.0" encoding="utf-8"?>
<ds:datastoreItem xmlns:ds="http://schemas.openxmlformats.org/officeDocument/2006/customXml" ds:itemID="{150062CE-C669-41EA-A71D-B12FECE4986D}">
  <ds:schemaRefs/>
</ds:datastoreItem>
</file>

<file path=customXml/itemProps16.xml><?xml version="1.0" encoding="utf-8"?>
<ds:datastoreItem xmlns:ds="http://schemas.openxmlformats.org/officeDocument/2006/customXml" ds:itemID="{9E2844A7-87E6-44CA-BCDA-CC7B1FB85C0D}">
  <ds:schemaRefs/>
</ds:datastoreItem>
</file>

<file path=customXml/itemProps17.xml><?xml version="1.0" encoding="utf-8"?>
<ds:datastoreItem xmlns:ds="http://schemas.openxmlformats.org/officeDocument/2006/customXml" ds:itemID="{729636BD-5977-4D4F-B6C9-C375E70BEFA3}">
  <ds:schemaRefs/>
</ds:datastoreItem>
</file>

<file path=customXml/itemProps18.xml><?xml version="1.0" encoding="utf-8"?>
<ds:datastoreItem xmlns:ds="http://schemas.openxmlformats.org/officeDocument/2006/customXml" ds:itemID="{4A00CA00-83FE-4C30-865A-26B4FA92E2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Pivot Report</vt:lpstr>
      <vt:lpstr>DashBoard</vt:lpstr>
      <vt:lpstr>Daily ER no. of Patients</vt:lpstr>
      <vt:lpstr>Avergae wait Time </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Athrava Devkar</dc:creator>
  <cp:lastModifiedBy>Athrava Devkar</cp:lastModifiedBy>
  <dcterms:created xsi:type="dcterms:W3CDTF">2026-02-15T13:05:37Z</dcterms:created>
  <dcterms:modified xsi:type="dcterms:W3CDTF">2026-02-16T11:24:49Z</dcterms:modified>
</cp:coreProperties>
</file>